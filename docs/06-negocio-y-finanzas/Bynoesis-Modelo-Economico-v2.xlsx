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Unit_Economics" sheetId="2" state="visible" r:id="rId2"/>
    <sheet xmlns:r="http://schemas.openxmlformats.org/officeDocument/2006/relationships" name="Vida_y_LTV" sheetId="3" state="visible" r:id="rId3"/>
    <sheet xmlns:r="http://schemas.openxmlformats.org/officeDocument/2006/relationships" name="Canal_Comision" sheetId="4" state="visible" r:id="rId4"/>
    <sheet xmlns:r="http://schemas.openxmlformats.org/officeDocument/2006/relationships" name="Implantacion" sheetId="5" state="visible" r:id="rId5"/>
    <sheet xmlns:r="http://schemas.openxmlformats.org/officeDocument/2006/relationships" name="Caja_36m" sheetId="6" state="visible" r:id="rId6"/>
    <sheet xmlns:r="http://schemas.openxmlformats.org/officeDocument/2006/relationships" name="Fuentes_y_pendientes" sheetId="7" state="visible" r:id="rId7"/>
  </sheets>
  <definedNames/>
  <calcPr calcId="124519" fullCalcOnLoad="1"/>
</workbook>
</file>

<file path=xl/styles.xml><?xml version="1.0" encoding="utf-8"?>
<styleSheet xmlns="http://schemas.openxmlformats.org/spreadsheetml/2006/main">
  <numFmts count="4">
    <numFmt numFmtId="164" formatCode="0.0%"/>
    <numFmt numFmtId="165" formatCode="#,##0.00\ &quot;€&quot;"/>
    <numFmt numFmtId="166" formatCode="#,##0\ &quot;€&quot;"/>
    <numFmt numFmtId="167" formatCode="#,##0.0"/>
  </numFmts>
  <fonts count="11">
    <font>
      <name val="Calibri"/>
      <family val="2"/>
      <color theme="1"/>
      <sz val="11"/>
      <scheme val="minor"/>
    </font>
    <font>
      <name val="Aptos"/>
      <b val="1"/>
      <color rgb="FF14463B"/>
      <sz val="16"/>
    </font>
    <font>
      <name val="Aptos"/>
      <color rgb="FF5D6B66"/>
      <sz val="10"/>
    </font>
    <font>
      <name val="Aptos"/>
      <b val="1"/>
      <color rgb="FF14463B"/>
      <sz val="12"/>
    </font>
    <font>
      <name val="Aptos"/>
      <b val="1"/>
      <color rgb="FFFFFFFF"/>
      <sz val="10"/>
    </font>
    <font>
      <name val="Aptos"/>
      <color rgb="FF15211C"/>
      <sz val="10"/>
    </font>
    <font>
      <name val="Aptos"/>
      <color rgb="FF0000CC"/>
      <sz val="10"/>
    </font>
    <font>
      <name val="Aptos"/>
      <b val="1"/>
      <color rgb="FFB7831F"/>
      <sz val="10"/>
    </font>
    <font>
      <name val="Aptos"/>
      <b val="1"/>
      <color rgb="FF15211C"/>
      <sz val="10"/>
    </font>
    <font>
      <name val="Aptos"/>
      <color rgb="FF5D6B66"/>
      <sz val="9"/>
    </font>
    <font>
      <name val="Aptos"/>
      <color rgb="FFC0533F"/>
      <sz val="10"/>
    </font>
  </fonts>
  <fills count="3">
    <fill>
      <patternFill/>
    </fill>
    <fill>
      <patternFill patternType="gray125"/>
    </fill>
    <fill>
      <patternFill patternType="solid">
        <fgColor rgb="FF14463B"/>
      </patternFill>
    </fill>
  </fills>
  <borders count="2">
    <border>
      <left/>
      <right/>
      <top/>
      <bottom/>
      <diagonal/>
    </border>
    <border>
      <left style="thin">
        <color rgb="FFDDD8CC"/>
      </left>
      <right style="thin">
        <color rgb="FFDDD8CC"/>
      </right>
      <top style="thin">
        <color rgb="FFDDD8CC"/>
      </top>
      <bottom style="thin">
        <color rgb="FFDDD8CC"/>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wrapText="1"/>
    </xf>
    <xf numFmtId="0" fontId="5" fillId="0" borderId="1" pivotButton="0" quotePrefix="0" xfId="0"/>
    <xf numFmtId="9" fontId="6" fillId="0" borderId="1" pivotButton="0" quotePrefix="0" xfId="0"/>
    <xf numFmtId="164" fontId="6" fillId="0" borderId="1" pivotButton="0" quotePrefix="0" xfId="0"/>
    <xf numFmtId="165" fontId="6" fillId="0" borderId="1" pivotButton="0" quotePrefix="0" xfId="0"/>
    <xf numFmtId="166" fontId="6" fillId="0" borderId="1" pivotButton="0" quotePrefix="0" xfId="0"/>
    <xf numFmtId="3" fontId="6" fillId="0" borderId="1" pivotButton="0" quotePrefix="0" xfId="0"/>
    <xf numFmtId="0" fontId="7" fillId="0" borderId="0" pivotButton="0" quotePrefix="0" xfId="0"/>
    <xf numFmtId="0" fontId="8" fillId="0" borderId="1" pivotButton="0" quotePrefix="0" xfId="0"/>
    <xf numFmtId="165" fontId="8" fillId="0" borderId="1" pivotButton="0" quotePrefix="0" xfId="0"/>
    <xf numFmtId="164" fontId="8" fillId="0" borderId="1" pivotButton="0" quotePrefix="0" xfId="0"/>
    <xf numFmtId="3" fontId="8" fillId="0" borderId="1" pivotButton="0" quotePrefix="0" xfId="0"/>
    <xf numFmtId="167" fontId="8" fillId="0" borderId="1" pivotButton="0" quotePrefix="0" xfId="0"/>
    <xf numFmtId="166" fontId="8" fillId="0" borderId="1" pivotButton="0" quotePrefix="0" xfId="0"/>
    <xf numFmtId="0" fontId="9" fillId="0" borderId="0" applyAlignment="1" pivotButton="0" quotePrefix="0" xfId="0">
      <alignment vertical="top" wrapText="1"/>
    </xf>
    <xf numFmtId="165" fontId="5" fillId="0" borderId="1" pivotButton="0" quotePrefix="0" xfId="0"/>
    <xf numFmtId="164" fontId="5" fillId="0" borderId="1" pivotButton="0" quotePrefix="0" xfId="0"/>
    <xf numFmtId="166" fontId="5" fillId="0" borderId="1" pivotButton="0" quotePrefix="0" xfId="0"/>
    <xf numFmtId="167" fontId="5" fillId="0" borderId="1" pivotButton="0" quotePrefix="0" xfId="0"/>
    <xf numFmtId="9" fontId="5" fillId="0" borderId="1" pivotButton="0" quotePrefix="0" xfId="0"/>
    <xf numFmtId="3" fontId="5" fillId="0" borderId="1" pivotButton="0" quotePrefix="0" xfId="0"/>
    <xf numFmtId="9" fontId="8" fillId="0" borderId="1" pivotButton="0" quotePrefix="0" xfId="0"/>
    <xf numFmtId="0" fontId="5" fillId="0" borderId="1" applyAlignment="1" pivotButton="0" quotePrefix="0" xfId="0">
      <alignment vertical="top" wrapText="1"/>
    </xf>
    <xf numFmtId="0" fontId="10" fillId="0" borderId="1" pivotButton="0" quotePrefix="0" xfId="0"/>
    <xf numFmtId="0" fontId="10" fillId="0" borderId="1" applyAlignment="1" pivotButton="0" quotePrefix="0" xfId="0">
      <alignment vertical="top" wrapText="1"/>
    </xf>
  </cellXfs>
  <cellStyles count="1">
    <cellStyle name="Normal" xfId="0" builtinId="0" hidden="0"/>
  </cellStyles>
  <dxfs count="4">
    <dxf>
      <font>
        <name val="Aptos"/>
        <b val="1"/>
        <color rgb="FFC0533F"/>
        <sz val="10"/>
      </font>
    </dxf>
    <dxf>
      <font>
        <name val="Aptos"/>
        <b val="1"/>
        <color rgb="FF1F8A6D"/>
        <sz val="10"/>
      </font>
    </dxf>
    <dxf>
      <font>
        <name val="Aptos"/>
        <color rgb="FFC0533F"/>
        <sz val="10"/>
      </font>
    </dxf>
    <dxf>
      <font>
        <name val="Aptos"/>
        <color rgb="FF1F8A6D"/>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4463B"/>
    <outlinePr summaryBelow="1" summaryRight="1"/>
    <pageSetUpPr/>
  </sheetPr>
  <dimension ref="A1:H34"/>
  <sheetViews>
    <sheetView showGridLines="0" workbookViewId="0">
      <selection activeCell="A1" sqref="A1"/>
    </sheetView>
  </sheetViews>
  <sheetFormatPr baseColWidth="8" defaultRowHeight="15"/>
  <cols>
    <col width="42" customWidth="1" min="1" max="1"/>
    <col width="16" customWidth="1" min="2" max="2"/>
    <col width="14" customWidth="1" min="3" max="3"/>
    <col width="14" customWidth="1" min="4" max="4"/>
    <col width="14" customWidth="1" min="5" max="5"/>
    <col width="52" customWidth="1" min="6" max="6"/>
  </cols>
  <sheetData>
    <row r="1">
      <c r="A1" s="1" t="inlineStr">
        <is>
          <t>Bynoesis · modelo economico v2</t>
        </is>
      </c>
    </row>
    <row r="2" ht="30" customHeight="1">
      <c r="A2" s="2" t="inlineStr">
        <is>
          <t>Lo azul se edita; lo negro es formula. Cambia un supuesto aqui y se mueve todo el libro, incluida la curva de caja. Las cifras por plan vienen del analisis del 15/07/2026; las bajas, el CAC y el canal son supuestos sin medir y estan marcados como tales.</t>
        </is>
      </c>
    </row>
    <row r="3"/>
    <row r="5">
      <c r="A5" s="3" t="inlineStr">
        <is>
          <t>Supuestos que decides tu</t>
        </is>
      </c>
    </row>
    <row r="6" ht="28" customHeight="1">
      <c r="A6" s="4" t="inlineStr">
        <is>
          <t>Supuesto</t>
        </is>
      </c>
      <c r="B6" s="4" t="inlineStr">
        <is>
          <t>Valor</t>
        </is>
      </c>
      <c r="C6" s="4" t="inlineStr"/>
      <c r="D6" s="4" t="inlineStr"/>
      <c r="E6" s="4" t="inlineStr"/>
      <c r="F6" s="4" t="inlineStr">
        <is>
          <t>De donde sale</t>
        </is>
      </c>
    </row>
    <row r="7">
      <c r="A7" s="5" t="inlineStr">
        <is>
          <t>Mezcla de planes · Autonomo</t>
        </is>
      </c>
      <c r="B7" s="6" t="n">
        <v>0.55</v>
      </c>
      <c r="C7" s="5" t="n"/>
      <c r="D7" s="5" t="n"/>
      <c r="E7" s="5" t="n"/>
      <c r="F7" s="5" t="inlineStr">
        <is>
          <t>Reparto de cuentas supuesto en el analisis del 15/07/2026.</t>
        </is>
      </c>
    </row>
    <row r="8">
      <c r="A8" s="5" t="inlineStr">
        <is>
          <t>Mezcla de planes · Negocio</t>
        </is>
      </c>
      <c r="B8" s="6" t="n">
        <v>0.35</v>
      </c>
      <c r="C8" s="5" t="n"/>
      <c r="D8" s="5" t="n"/>
      <c r="E8" s="5" t="n"/>
      <c r="F8" s="5" t="inlineStr">
        <is>
          <t>Las tres deben sumar 100 %.</t>
        </is>
      </c>
    </row>
    <row r="9">
      <c r="A9" s="5" t="inlineStr">
        <is>
          <t>Mezcla de planes · Premium</t>
        </is>
      </c>
      <c r="B9" s="6" t="n">
        <v>0.1</v>
      </c>
      <c r="C9" s="5" t="n"/>
      <c r="D9" s="5" t="n"/>
      <c r="E9" s="5" t="n"/>
      <c r="F9" s="5" t="inlineStr">
        <is>
          <t>Premium al 10 % es prudente: es el plan de menor margen.</t>
        </is>
      </c>
    </row>
    <row r="10">
      <c r="A10" s="5" t="inlineStr">
        <is>
          <t>Bajas al mes (churn)</t>
        </is>
      </c>
      <c r="B10" s="7" t="n">
        <v>0.04</v>
      </c>
      <c r="C10" s="5" t="n"/>
      <c r="D10" s="5" t="n"/>
      <c r="E10" s="5" t="n"/>
      <c r="F10" s="5" t="inlineStr">
        <is>
          <t>SUPUESTO SIN MEDIR. No hay clientes de pago que permitan medirlo.</t>
        </is>
      </c>
    </row>
    <row r="11">
      <c r="A11" s="5" t="inlineStr">
        <is>
          <t>Coste de captar un cliente (CAC)</t>
        </is>
      </c>
      <c r="B11" s="8" t="n">
        <v>150</v>
      </c>
      <c r="C11" s="5" t="n"/>
      <c r="D11" s="5" t="n"/>
      <c r="E11" s="5" t="n"/>
      <c r="F11" s="5" t="inlineStr">
        <is>
          <t>SUPUESTO SIN MEDIR. Figuraba en el modelo editable anterior.</t>
        </is>
      </c>
    </row>
    <row r="12">
      <c r="A12" s="5" t="inlineStr">
        <is>
          <t>Gasto fijo mensual (opex)</t>
        </is>
      </c>
      <c r="B12" s="9" t="n">
        <v>3500</v>
      </c>
      <c r="C12" s="5" t="n"/>
      <c r="D12" s="5" t="n"/>
      <c r="E12" s="5" t="n"/>
      <c r="F12" s="5" t="inlineStr">
        <is>
          <t>Constante del analisis del 15/07/2026.</t>
        </is>
      </c>
    </row>
    <row r="13">
      <c r="A13" s="5" t="inlineStr">
        <is>
          <t>Altas al mes</t>
        </is>
      </c>
      <c r="B13" s="10" t="n">
        <v>10</v>
      </c>
      <c r="C13" s="5" t="n"/>
      <c r="D13" s="5" t="n"/>
      <c r="E13" s="5" t="n"/>
      <c r="F13" s="5" t="inlineStr">
        <is>
          <t>Ritmo de captacion que quieres simular.</t>
        </is>
      </c>
    </row>
    <row r="14">
      <c r="A14" s="5" t="inlineStr">
        <is>
          <t>Cuota de implantacion</t>
        </is>
      </c>
      <c r="B14" s="9" t="n">
        <v>99</v>
      </c>
      <c r="C14" s="5" t="n"/>
      <c r="D14" s="5" t="n"/>
      <c r="E14" s="5" t="n"/>
      <c r="F14" s="5" t="inlineStr">
        <is>
          <t>Propuesta del 16/09/2026; se perdona en contratacion anual.</t>
        </is>
      </c>
    </row>
    <row r="15">
      <c r="A15" s="5" t="inlineStr">
        <is>
          <t>Cuota de implantacion: % que la paga</t>
        </is>
      </c>
      <c r="B15" s="6" t="n">
        <v>1</v>
      </c>
      <c r="C15" s="5" t="n"/>
      <c r="D15" s="5" t="n"/>
      <c r="E15" s="5" t="n"/>
      <c r="F15" s="5" t="inlineStr">
        <is>
          <t>Con 0 % el modelo se comporta como si no existiera.</t>
        </is>
      </c>
    </row>
    <row r="16">
      <c r="A16" s="5" t="inlineStr">
        <is>
          <t>Caja inicial</t>
        </is>
      </c>
      <c r="B16" s="9" t="n">
        <v>0</v>
      </c>
      <c r="C16" s="5" t="n"/>
      <c r="D16" s="5" t="n"/>
      <c r="E16" s="5" t="n"/>
      <c r="F16" s="5" t="inlineStr">
        <is>
          <t>Dinero disponible al empezar la simulacion.</t>
        </is>
      </c>
    </row>
    <row r="18">
      <c r="A18" s="11">
        <f>IF(ABS($B$7+$B$8+$B$9-1)&gt;0.0001,"AVISO: la mezcla de planes no suma 100 %","Mezcla correcta: suma 100 %")</f>
        <v/>
      </c>
    </row>
    <row r="20">
      <c r="A20" s="3" t="inlineStr">
        <is>
          <t>Lo que sale de ahi</t>
        </is>
      </c>
    </row>
    <row r="21" ht="28" customHeight="1">
      <c r="A21" s="4" t="inlineStr">
        <is>
          <t>Resultado</t>
        </is>
      </c>
      <c r="B21" s="4" t="inlineStr">
        <is>
          <t>Valor</t>
        </is>
      </c>
      <c r="C21" s="4" t="inlineStr"/>
      <c r="D21" s="4" t="inlineStr"/>
      <c r="E21" s="4" t="inlineStr"/>
      <c r="F21" s="4" t="inlineStr">
        <is>
          <t>Como se calcula</t>
        </is>
      </c>
    </row>
    <row r="22">
      <c r="A22" s="12" t="inlineStr">
        <is>
          <t>Cuota media por cuenta (ARPU)</t>
        </is>
      </c>
      <c r="B22" s="13">
        <f>Unit_Economics!$B$12</f>
        <v/>
      </c>
      <c r="C22" s="12" t="n"/>
      <c r="D22" s="12" t="n"/>
      <c r="E22" s="12" t="n"/>
      <c r="F22" s="12" t="inlineStr">
        <is>
          <t>Precio de cada plan por su peso en la mezcla.</t>
        </is>
      </c>
    </row>
    <row r="23">
      <c r="A23" s="12" t="inlineStr">
        <is>
          <t>Contribucion media por cuenta</t>
        </is>
      </c>
      <c r="B23" s="13">
        <f>Unit_Economics!$D$12</f>
        <v/>
      </c>
      <c r="C23" s="12" t="n"/>
      <c r="D23" s="12" t="n"/>
      <c r="E23" s="12" t="n"/>
      <c r="F23" s="12" t="inlineStr">
        <is>
          <t>Lo que deja cada cuenta al mes despues de servirla.</t>
        </is>
      </c>
    </row>
    <row r="24">
      <c r="A24" s="12" t="inlineStr">
        <is>
          <t>Margen de contribucion</t>
        </is>
      </c>
      <c r="B24" s="14">
        <f>IF(Panel!$B$22=0,0,Panel!$B$23/Panel!$B$22)</f>
        <v/>
      </c>
      <c r="C24" s="12" t="n"/>
      <c r="D24" s="12" t="n"/>
      <c r="E24" s="12" t="n"/>
      <c r="F24" s="12" t="inlineStr">
        <is>
          <t>Contribucion sobre cuota media.</t>
        </is>
      </c>
    </row>
    <row r="25">
      <c r="A25" s="12" t="inlineStr">
        <is>
          <t>Cuentas para cubrir el gasto fijo</t>
        </is>
      </c>
      <c r="B25" s="15">
        <f>IF(Panel!$B$23&lt;=0,"-",ROUNDUP($B$12/Panel!$B$23,0))</f>
        <v/>
      </c>
      <c r="C25" s="12" t="n"/>
      <c r="D25" s="12" t="n"/>
      <c r="E25" s="12" t="n"/>
      <c r="F25" s="12" t="inlineStr">
        <is>
          <t>Break-even: gasto fijo entre contribucion media.</t>
        </is>
      </c>
    </row>
    <row r="26">
      <c r="A26" s="12" t="inlineStr">
        <is>
          <t>Vida media del cliente</t>
        </is>
      </c>
      <c r="B26" s="16">
        <f>IF($B$10&lt;=0,"sin bajas",1/$B$10)</f>
        <v/>
      </c>
      <c r="C26" s="12" t="n"/>
      <c r="D26" s="12" t="n"/>
      <c r="E26" s="12" t="n"/>
      <c r="F26" s="12" t="inlineStr">
        <is>
          <t>Meses. Es 1 dividido entre las bajas mensuales.</t>
        </is>
      </c>
    </row>
    <row r="27">
      <c r="A27" s="12" t="inlineStr">
        <is>
          <t>Valor de un cliente (LTV)</t>
        </is>
      </c>
      <c r="B27" s="13">
        <f>IF($B$10&lt;=0,"-",Panel!$B$23/$B$10)</f>
        <v/>
      </c>
      <c r="C27" s="12" t="n"/>
      <c r="D27" s="12" t="n"/>
      <c r="E27" s="12" t="n"/>
      <c r="F27" s="12" t="inlineStr">
        <is>
          <t>Contribucion por vida media. No es facturacion: es lo que deja.</t>
        </is>
      </c>
    </row>
    <row r="28">
      <c r="A28" s="12" t="inlineStr">
        <is>
          <t>LTV dividido entre CAC</t>
        </is>
      </c>
      <c r="B28" s="16">
        <f>IF(OR($B$11&lt;=0,$B$10&lt;=0),"-",Panel!$B$27/$B$11)</f>
        <v/>
      </c>
      <c r="C28" s="12" t="n"/>
      <c r="D28" s="12" t="n"/>
      <c r="E28" s="12" t="n"/>
      <c r="F28" s="12" t="inlineStr">
        <is>
          <t>Por debajo de 3 el negocio compra clientes demasiado caros.</t>
        </is>
      </c>
    </row>
    <row r="29">
      <c r="A29" s="12" t="inlineStr">
        <is>
          <t>Meses para recuperar el CAC</t>
        </is>
      </c>
      <c r="B29" s="16">
        <f>IF(Panel!$B$23&lt;=0,"-",$B$11/Panel!$B$23)</f>
        <v/>
      </c>
      <c r="C29" s="12" t="n"/>
      <c r="D29" s="12" t="n"/>
      <c r="E29" s="12" t="n"/>
      <c r="F29" s="12" t="inlineStr">
        <is>
          <t>Payback. Por encima de 12 la caja sufre aunque el LTV sea bueno.</t>
        </is>
      </c>
    </row>
    <row r="30">
      <c r="A30" s="12" t="inlineStr">
        <is>
          <t>Mes en que la caja deja de bajar</t>
        </is>
      </c>
      <c r="B30" s="15">
        <f>Caja_36m!$B$6</f>
        <v/>
      </c>
      <c r="C30" s="12" t="n"/>
      <c r="D30" s="12" t="n"/>
      <c r="E30" s="12" t="n"/>
      <c r="F30" s="12" t="inlineStr">
        <is>
          <t>Primer mes con resultado mensual positivo, segun Caja_36m.</t>
        </is>
      </c>
    </row>
    <row r="31">
      <c r="A31" s="12" t="inlineStr">
        <is>
          <t>Caja minima que hace falta</t>
        </is>
      </c>
      <c r="B31" s="17">
        <f>Caja_36m!$B$7</f>
        <v/>
      </c>
      <c r="C31" s="12" t="n"/>
      <c r="D31" s="12" t="n"/>
      <c r="E31" s="12" t="n"/>
      <c r="F31" s="12" t="inlineStr">
        <is>
          <t>El punto mas bajo de la curva: el dinero que hay que poder aguantar.</t>
        </is>
      </c>
    </row>
    <row r="33" ht="26" customHeight="1">
      <c r="A33" s="18" t="inlineStr">
        <is>
          <t>Ninguna fila de bajas, CAC o comision es un dato observado: no hay todavia clientes de pago que permitan medirlos. El modelo sirve para ver que pasa si, no para afirmar que pasara. Primero tres a cinco clientes de pago y treinta dias de medicion.</t>
        </is>
      </c>
    </row>
    <row r="34"/>
  </sheetData>
  <mergeCells count="3">
    <mergeCell ref="A18:F18"/>
    <mergeCell ref="A33:H34"/>
    <mergeCell ref="A2:H3"/>
  </mergeCells>
  <conditionalFormatting sqref="B28">
    <cfRule type="cellIs" priority="1" operator="lessThan" dxfId="0">
      <formula>3</formula>
    </cfRule>
    <cfRule type="cellIs" priority="2" operator="greaterThanOrEqual" dxfId="1">
      <formula>3</formula>
    </cfRule>
  </conditionalFormatting>
  <pageMargins left="0.75" right="0.75" top="1" bottom="1" header="0.5" footer="0.5"/>
</worksheet>
</file>

<file path=xl/worksheets/sheet2.xml><?xml version="1.0" encoding="utf-8"?>
<worksheet xmlns="http://schemas.openxmlformats.org/spreadsheetml/2006/main">
  <sheetPr>
    <tabColor rgb="FF2E8B74"/>
    <outlinePr summaryBelow="1" summaryRight="1"/>
    <pageSetUpPr/>
  </sheetPr>
  <dimension ref="A1:H20"/>
  <sheetViews>
    <sheetView showGridLines="0" workbookViewId="0">
      <selection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40" customWidth="1" min="7" max="7"/>
  </cols>
  <sheetData>
    <row r="1">
      <c r="A1" s="1" t="inlineStr">
        <is>
          <t>Economia por plan</t>
        </is>
      </c>
    </row>
    <row r="2" ht="30" customHeight="1">
      <c r="A2" s="2" t="inlineStr">
        <is>
          <t>Precio, coste de software y contribucion son cifras verificadas del 15/07/2026. El bloque intermedio —soporte, onboarding, fijo por cuenta y comisiones— se calcula por diferencia: el analisis publica el total, no su desglose, y aqui no se inventa uno.</t>
        </is>
      </c>
    </row>
    <row r="3"/>
    <row r="5" ht="28" customHeight="1">
      <c r="A5" s="4" t="inlineStr">
        <is>
          <t>Plan</t>
        </is>
      </c>
      <c r="B5" s="4" t="inlineStr">
        <is>
          <t>Precio</t>
        </is>
      </c>
      <c r="C5" s="4" t="inlineStr">
        <is>
          <t>Coste de software</t>
        </is>
      </c>
      <c r="D5" s="4" t="inlineStr">
        <is>
          <t>Contribucion</t>
        </is>
      </c>
      <c r="E5" s="4" t="inlineStr">
        <is>
          <t>Margen bruto</t>
        </is>
      </c>
      <c r="F5" s="4" t="inlineStr">
        <is>
          <t>Margen contribucion</t>
        </is>
      </c>
      <c r="G5" s="4" t="inlineStr">
        <is>
          <t>Soporte, onboarding y comisiones (por diferencia)</t>
        </is>
      </c>
    </row>
    <row r="6">
      <c r="A6" s="5" t="inlineStr">
        <is>
          <t>Autonomo</t>
        </is>
      </c>
      <c r="B6" s="19" t="n">
        <v>29</v>
      </c>
      <c r="C6" s="19" t="n">
        <v>1.48</v>
      </c>
      <c r="D6" s="19" t="n">
        <v>20.83</v>
      </c>
      <c r="E6" s="20">
        <f>IF(B6=0,0,(B6-C6)/B6)</f>
        <v/>
      </c>
      <c r="F6" s="20">
        <f>IF(B6=0,0,D6/B6)</f>
        <v/>
      </c>
      <c r="G6" s="19">
        <f>B6-C6-D6</f>
        <v/>
      </c>
    </row>
    <row r="7">
      <c r="A7" s="5" t="inlineStr">
        <is>
          <t>Negocio</t>
        </is>
      </c>
      <c r="B7" s="19" t="n">
        <v>49</v>
      </c>
      <c r="C7" s="19" t="n">
        <v>3.04</v>
      </c>
      <c r="D7" s="19" t="n">
        <v>34.89</v>
      </c>
      <c r="E7" s="20">
        <f>IF(B7=0,0,(B7-C7)/B7)</f>
        <v/>
      </c>
      <c r="F7" s="20">
        <f>IF(B7=0,0,D7/B7)</f>
        <v/>
      </c>
      <c r="G7" s="19">
        <f>B7-C7-D7</f>
        <v/>
      </c>
    </row>
    <row r="8">
      <c r="A8" s="5" t="inlineStr">
        <is>
          <t>Premium</t>
        </is>
      </c>
      <c r="B8" s="19" t="n">
        <v>99</v>
      </c>
      <c r="C8" s="19" t="n">
        <v>18.47</v>
      </c>
      <c r="D8" s="19" t="n">
        <v>56.96</v>
      </c>
      <c r="E8" s="20">
        <f>IF(B8=0,0,(B8-C8)/B8)</f>
        <v/>
      </c>
      <c r="F8" s="20">
        <f>IF(B8=0,0,D8/B8)</f>
        <v/>
      </c>
      <c r="G8" s="19">
        <f>B8-C8-D8</f>
        <v/>
      </c>
    </row>
    <row r="10">
      <c r="A10" s="3" t="inlineStr">
        <is>
          <t>Mezcla y medias</t>
        </is>
      </c>
    </row>
    <row r="11" ht="28" customHeight="1">
      <c r="A11" s="4" t="inlineStr">
        <is>
          <t>Concepto</t>
        </is>
      </c>
      <c r="B11" s="4" t="inlineStr">
        <is>
          <t>Cuota media</t>
        </is>
      </c>
      <c r="C11" s="4" t="inlineStr">
        <is>
          <t>Coste medio</t>
        </is>
      </c>
      <c r="D11" s="4" t="inlineStr">
        <is>
          <t>Contribucion media</t>
        </is>
      </c>
      <c r="E11" s="4" t="inlineStr"/>
      <c r="F11" s="4" t="inlineStr"/>
      <c r="G11" s="4" t="inlineStr">
        <is>
          <t>Peso de cada plan</t>
        </is>
      </c>
    </row>
    <row r="12">
      <c r="A12" s="12" t="inlineStr">
        <is>
          <t>Media ponderada</t>
        </is>
      </c>
      <c r="B12" s="13">
        <f>B6*Panel!$B$7+B7*Panel!$B$8+B8*Panel!$B$9</f>
        <v/>
      </c>
      <c r="C12" s="13">
        <f>C6*Panel!$B$7+C7*Panel!$B$8+C8*Panel!$B$9</f>
        <v/>
      </c>
      <c r="D12" s="13">
        <f>D6*Panel!$B$7+D7*Panel!$B$8+D8*Panel!$B$9</f>
        <v/>
      </c>
      <c r="E12" s="12" t="n"/>
      <c r="F12" s="12" t="n"/>
      <c r="G12" s="12">
        <f>TEXT(Panel!$B$7,"0%")&amp;" / "&amp;TEXT(Panel!$B$8,"0%")&amp;" / "&amp;TEXT(Panel!$B$9,"0%")</f>
        <v/>
      </c>
    </row>
    <row r="14" ht="28" customHeight="1">
      <c r="A14" s="4" t="inlineStr">
        <is>
          <t>Plan</t>
        </is>
      </c>
      <c r="B14" s="4" t="inlineStr">
        <is>
          <t>Cobro anual</t>
        </is>
      </c>
      <c r="C14" s="4" t="inlineStr">
        <is>
          <t>Equivalente al mes</t>
        </is>
      </c>
      <c r="D14" s="4" t="inlineStr">
        <is>
          <t>Ahorro para el cliente</t>
        </is>
      </c>
      <c r="E14" s="4" t="inlineStr"/>
      <c r="F14" s="4" t="inlineStr"/>
      <c r="G14" s="4" t="inlineStr">
        <is>
          <t>Nota</t>
        </is>
      </c>
    </row>
    <row r="15">
      <c r="A15" s="5" t="inlineStr">
        <is>
          <t>Autonomo</t>
        </is>
      </c>
      <c r="B15" s="21" t="n">
        <v>319</v>
      </c>
      <c r="C15" s="19">
        <f>B15/12</f>
        <v/>
      </c>
      <c r="D15" s="21">
        <f>29*12-B15</f>
        <v/>
      </c>
      <c r="E15" s="5" t="n"/>
      <c r="F15" s="5" t="n"/>
      <c r="G15" s="5" t="inlineStr">
        <is>
          <t>Cobra once meses y da doce. Mejora caja y reduce comisiones.</t>
        </is>
      </c>
    </row>
    <row r="16">
      <c r="A16" s="5" t="inlineStr">
        <is>
          <t>Negocio</t>
        </is>
      </c>
      <c r="B16" s="21" t="n">
        <v>539</v>
      </c>
      <c r="C16" s="19">
        <f>B16/12</f>
        <v/>
      </c>
      <c r="D16" s="21">
        <f>49*12-B16</f>
        <v/>
      </c>
      <c r="E16" s="5" t="n"/>
      <c r="F16" s="5" t="n"/>
      <c r="G16" s="5" t="inlineStr">
        <is>
          <t>Cobra once meses y da doce. Mejora caja y reduce comisiones.</t>
        </is>
      </c>
    </row>
    <row r="17">
      <c r="A17" s="5" t="inlineStr">
        <is>
          <t>Premium</t>
        </is>
      </c>
      <c r="B17" s="21" t="n">
        <v>1089</v>
      </c>
      <c r="C17" s="19">
        <f>B17/12</f>
        <v/>
      </c>
      <c r="D17" s="21">
        <f>99*12-B17</f>
        <v/>
      </c>
      <c r="E17" s="5" t="n"/>
      <c r="F17" s="5" t="n"/>
      <c r="G17" s="5" t="inlineStr">
        <is>
          <t>Cobra once meses y da doce. Mejora caja y reduce comisiones.</t>
        </is>
      </c>
    </row>
    <row r="19" ht="26" customHeight="1">
      <c r="A19" s="18" t="inlineStr">
        <is>
          <t>El anual obliga a reservar capacidad de servicio durante doce meses, asi que su contribucion real depende del uso de voz y soporte que el piloto todavia no ha medido.</t>
        </is>
      </c>
    </row>
    <row r="20"/>
  </sheetData>
  <mergeCells count="2">
    <mergeCell ref="A19:H20"/>
    <mergeCell ref="A2:H3"/>
  </mergeCells>
  <pageMargins left="0.75" right="0.75" top="1" bottom="1" header="0.5" footer="0.5"/>
</worksheet>
</file>

<file path=xl/worksheets/sheet3.xml><?xml version="1.0" encoding="utf-8"?>
<worksheet xmlns="http://schemas.openxmlformats.org/spreadsheetml/2006/main">
  <sheetPr>
    <tabColor rgb="FF2E8B74"/>
    <outlinePr summaryBelow="1" summaryRight="1"/>
    <pageSetUpPr/>
  </sheetPr>
  <dimension ref="A1:H14"/>
  <sheetViews>
    <sheetView showGridLines="0"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40" customWidth="1" min="6" max="6"/>
  </cols>
  <sheetData>
    <row r="1">
      <c r="A1" s="1" t="inlineStr">
        <is>
          <t>Cuanto dura un cliente y cuanto deja</t>
        </is>
      </c>
    </row>
    <row r="2" ht="30" customHeight="1">
      <c r="A2" s="2" t="inlineStr">
        <is>
          <t>Sin bajas no hay vida media y sin vida media no hay LTV: el modelo anterior describia un cliente que se queda para siempre. La fila resaltada es la que has puesto en el Panel.</t>
        </is>
      </c>
    </row>
    <row r="3"/>
    <row r="5" ht="28" customHeight="1">
      <c r="A5" s="4" t="inlineStr">
        <is>
          <t>Bajas al mes</t>
        </is>
      </c>
      <c r="B5" s="4" t="inlineStr">
        <is>
          <t>Vida media (meses)</t>
        </is>
      </c>
      <c r="C5" s="4" t="inlineStr">
        <is>
          <t>LTV (contribucion)</t>
        </is>
      </c>
      <c r="D5" s="4" t="inlineStr">
        <is>
          <t>LTV / CAC</t>
        </is>
      </c>
      <c r="E5" s="4" t="inlineStr">
        <is>
          <t>Meses para recuperar el CAC</t>
        </is>
      </c>
      <c r="F5" s="4" t="inlineStr">
        <is>
          <t>Lectura</t>
        </is>
      </c>
    </row>
    <row r="6">
      <c r="A6" s="20" t="n">
        <v>0.02</v>
      </c>
      <c r="B6" s="22">
        <f>1/A6</f>
        <v/>
      </c>
      <c r="C6" s="19">
        <f>Panel!$B$23/A6</f>
        <v/>
      </c>
      <c r="D6" s="22">
        <f>IF(Panel!$B$11&lt;=0,"-",C6/Panel!$B$11)</f>
        <v/>
      </c>
      <c r="E6" s="22">
        <f>IF(Panel!$B$23&lt;=0,"-",Panel!$B$11/Panel!$B$23)</f>
        <v/>
      </c>
      <c r="F6" s="5">
        <f>IF(D6="-","",IF(D6&gt;=3,"Sostenible",IF(D6&gt;=1,"Justo: el cliente apenas paga su captacion","Cada alta destruye valor")))</f>
        <v/>
      </c>
    </row>
    <row r="7">
      <c r="A7" s="20" t="n">
        <v>0.03</v>
      </c>
      <c r="B7" s="22">
        <f>1/A7</f>
        <v/>
      </c>
      <c r="C7" s="19">
        <f>Panel!$B$23/A7</f>
        <v/>
      </c>
      <c r="D7" s="22">
        <f>IF(Panel!$B$11&lt;=0,"-",C7/Panel!$B$11)</f>
        <v/>
      </c>
      <c r="E7" s="22">
        <f>IF(Panel!$B$23&lt;=0,"-",Panel!$B$11/Panel!$B$23)</f>
        <v/>
      </c>
      <c r="F7" s="5">
        <f>IF(D7="-","",IF(D7&gt;=3,"Sostenible",IF(D7&gt;=1,"Justo: el cliente apenas paga su captacion","Cada alta destruye valor")))</f>
        <v/>
      </c>
    </row>
    <row r="8">
      <c r="A8" s="14" t="n">
        <v>0.04</v>
      </c>
      <c r="B8" s="16">
        <f>1/A8</f>
        <v/>
      </c>
      <c r="C8" s="13">
        <f>Panel!$B$23/A8</f>
        <v/>
      </c>
      <c r="D8" s="16">
        <f>IF(Panel!$B$11&lt;=0,"-",C8/Panel!$B$11)</f>
        <v/>
      </c>
      <c r="E8" s="16">
        <f>IF(Panel!$B$23&lt;=0,"-",Panel!$B$11/Panel!$B$23)</f>
        <v/>
      </c>
      <c r="F8" s="12">
        <f>IF(D8="-","",IF(D8&gt;=3,"Sostenible",IF(D8&gt;=1,"Justo: el cliente apenas paga su captacion","Cada alta destruye valor")))</f>
        <v/>
      </c>
    </row>
    <row r="9">
      <c r="A9" s="20" t="n">
        <v>0.05</v>
      </c>
      <c r="B9" s="22">
        <f>1/A9</f>
        <v/>
      </c>
      <c r="C9" s="19">
        <f>Panel!$B$23/A9</f>
        <v/>
      </c>
      <c r="D9" s="22">
        <f>IF(Panel!$B$11&lt;=0,"-",C9/Panel!$B$11)</f>
        <v/>
      </c>
      <c r="E9" s="22">
        <f>IF(Panel!$B$23&lt;=0,"-",Panel!$B$11/Panel!$B$23)</f>
        <v/>
      </c>
      <c r="F9" s="5">
        <f>IF(D9="-","",IF(D9&gt;=3,"Sostenible",IF(D9&gt;=1,"Justo: el cliente apenas paga su captacion","Cada alta destruye valor")))</f>
        <v/>
      </c>
    </row>
    <row r="10">
      <c r="A10" s="20" t="n">
        <v>0.08</v>
      </c>
      <c r="B10" s="22">
        <f>1/A10</f>
        <v/>
      </c>
      <c r="C10" s="19">
        <f>Panel!$B$23/A10</f>
        <v/>
      </c>
      <c r="D10" s="22">
        <f>IF(Panel!$B$11&lt;=0,"-",C10/Panel!$B$11)</f>
        <v/>
      </c>
      <c r="E10" s="22">
        <f>IF(Panel!$B$23&lt;=0,"-",Panel!$B$11/Panel!$B$23)</f>
        <v/>
      </c>
      <c r="F10" s="5">
        <f>IF(D10="-","",IF(D10&gt;=3,"Sostenible",IF(D10&gt;=1,"Justo: el cliente apenas paga su captacion","Cada alta destruye valor")))</f>
        <v/>
      </c>
    </row>
    <row r="11">
      <c r="A11" s="20" t="n">
        <v>0.1</v>
      </c>
      <c r="B11" s="22">
        <f>1/A11</f>
        <v/>
      </c>
      <c r="C11" s="19">
        <f>Panel!$B$23/A11</f>
        <v/>
      </c>
      <c r="D11" s="22">
        <f>IF(Panel!$B$11&lt;=0,"-",C11/Panel!$B$11)</f>
        <v/>
      </c>
      <c r="E11" s="22">
        <f>IF(Panel!$B$23&lt;=0,"-",Panel!$B$11/Panel!$B$23)</f>
        <v/>
      </c>
      <c r="F11" s="5">
        <f>IF(D11="-","",IF(D11&gt;=3,"Sostenible",IF(D11&gt;=1,"Justo: el cliente apenas paga su captacion","Cada alta destruye valor")))</f>
        <v/>
      </c>
    </row>
    <row r="13" ht="26" customHeight="1">
      <c r="A13" s="18" t="inlineStr">
        <is>
          <t>Ninguna de estas filas es un dato. El CAC de 150 EUR aguanta bien salvo con bajas altas, pero tanto el CAC como las bajas son supuestos hasta que haya clientes de pago que permitan medirlos.</t>
        </is>
      </c>
    </row>
    <row r="14"/>
  </sheetData>
  <mergeCells count="2">
    <mergeCell ref="A13:H14"/>
    <mergeCell ref="A2:H3"/>
  </mergeCells>
  <conditionalFormatting sqref="D6:D11">
    <cfRule type="cellIs" priority="1" operator="lessThan" dxfId="2">
      <formula>3</formula>
    </cfRule>
  </conditionalFormatting>
  <pageMargins left="0.75" right="0.75" top="1" bottom="1" header="0.5" footer="0.5"/>
</worksheet>
</file>

<file path=xl/worksheets/sheet4.xml><?xml version="1.0" encoding="utf-8"?>
<worksheet xmlns="http://schemas.openxmlformats.org/spreadsheetml/2006/main">
  <sheetPr>
    <tabColor rgb="FF2E8B74"/>
    <outlinePr summaryBelow="1" summaryRight="1"/>
    <pageSetUpPr/>
  </sheetPr>
  <dimension ref="A1:H22"/>
  <sheetViews>
    <sheetView showGridLines="0" workbookViewId="0">
      <selection activeCell="A1" sqref="A1"/>
    </sheetView>
  </sheetViews>
  <sheetFormatPr baseColWidth="8" defaultRowHeight="15"/>
  <cols>
    <col width="34" customWidth="1" min="1" max="1"/>
    <col width="16" customWidth="1" min="2" max="2"/>
    <col width="16" customWidth="1" min="3" max="3"/>
    <col width="18" customWidth="1" min="4" max="4"/>
    <col width="20" customWidth="1" min="5" max="5"/>
    <col width="20" customWidth="1" min="6" max="6"/>
    <col width="46" customWidth="1" min="7" max="7"/>
  </cols>
  <sheetData>
    <row r="1">
      <c r="A1" s="1" t="inlineStr">
        <is>
          <t>Que cuesta cada forma de pagar al canal</t>
        </is>
      </c>
    </row>
    <row r="2" ht="30" customHeight="1">
      <c r="A2" s="2" t="inlineStr">
        <is>
          <t>Las cinco estructuras evaluadas el 16/09/2026, recalculadas aqui con los supuestos del Panel. «Se lleva» es la parte de la contribucion total del cliente que acaba en el comercial: es la cifra que decide si el canal escala.</t>
        </is>
      </c>
    </row>
    <row r="3"/>
    <row r="5" ht="28" customHeight="1">
      <c r="A5" s="4" t="inlineStr">
        <is>
          <t>Estructura</t>
        </is>
      </c>
      <c r="B5" s="4" t="inlineStr">
        <is>
          <t>Pago al alta</t>
        </is>
      </c>
      <c r="C5" s="4" t="inlineStr">
        <is>
          <t>% recurrente</t>
        </is>
      </c>
      <c r="D5" s="4" t="inlineStr">
        <is>
          <t>Meses de recurrente</t>
        </is>
      </c>
      <c r="E5" s="4" t="inlineStr">
        <is>
          <t>Coste total por cliente</t>
        </is>
      </c>
      <c r="F5" s="4" t="inlineStr">
        <is>
          <t>Se lleva (% contribucion)</t>
        </is>
      </c>
      <c r="G5" s="4" t="inlineStr">
        <is>
          <t>Recupera en (meses) · Gana a las altas del Panel en el mes 12</t>
        </is>
      </c>
    </row>
    <row r="6">
      <c r="A6" s="5" t="inlineStr">
        <is>
          <t>A · una mensualidad al alta</t>
        </is>
      </c>
      <c r="B6" s="19">
        <f>Panel!$B$22</f>
        <v/>
      </c>
      <c r="C6" s="23" t="n">
        <v>0</v>
      </c>
      <c r="D6" s="24" t="n">
        <v>0</v>
      </c>
      <c r="E6" s="19">
        <f>B6+C6*Panel!$B$22*MIN(D6,Panel!$B$26)</f>
        <v/>
      </c>
      <c r="F6" s="20">
        <f>IF(Panel!$B$23*Panel!$B$26=0,0,E6/(Panel!$B$23*Panel!$B$26))</f>
        <v/>
      </c>
      <c r="G6" s="5">
        <f>IF(Panel!$B$23&lt;=0,"-",TEXT(E6/Panel!$B$23,"0.0")&amp;" meses · "&amp;TEXT((Panel!$B$23*12-E6)*Panel!$B$13,"#,##0 €"))</f>
        <v/>
      </c>
    </row>
    <row r="7">
      <c r="A7" s="5" t="inlineStr">
        <is>
          <t>B · dos mensualidades al alta</t>
        </is>
      </c>
      <c r="B7" s="19">
        <f>Panel!$B$22*2</f>
        <v/>
      </c>
      <c r="C7" s="23" t="n">
        <v>0</v>
      </c>
      <c r="D7" s="24" t="n">
        <v>0</v>
      </c>
      <c r="E7" s="19">
        <f>B7+C7*Panel!$B$22*MIN(D7,Panel!$B$26)</f>
        <v/>
      </c>
      <c r="F7" s="20">
        <f>IF(Panel!$B$23*Panel!$B$26=0,0,E7/(Panel!$B$23*Panel!$B$26))</f>
        <v/>
      </c>
      <c r="G7" s="5">
        <f>IF(Panel!$B$23&lt;=0,"-",TEXT(E7/Panel!$B$23,"0.0")&amp;" meses · "&amp;TEXT((Panel!$B$23*12-E7)*Panel!$B$13,"#,##0 €"))</f>
        <v/>
      </c>
    </row>
    <row r="8">
      <c r="A8" s="5" t="inlineStr">
        <is>
          <t>C · 20 % recurrente de por vida</t>
        </is>
      </c>
      <c r="B8" s="19" t="n">
        <v>0</v>
      </c>
      <c r="C8" s="23" t="n">
        <v>0.2</v>
      </c>
      <c r="D8" s="24" t="n">
        <v>999</v>
      </c>
      <c r="E8" s="19">
        <f>B8+C8*Panel!$B$22*MIN(D8,Panel!$B$26)</f>
        <v/>
      </c>
      <c r="F8" s="20">
        <f>IF(Panel!$B$23*Panel!$B$26=0,0,E8/(Panel!$B$23*Panel!$B$26))</f>
        <v/>
      </c>
      <c r="G8" s="5">
        <f>IF(Panel!$B$23&lt;=0,"-",TEXT(E8/Panel!$B$23,"0.0")&amp;" meses · "&amp;TEXT((Panel!$B$23*12-E8)*Panel!$B$13,"#,##0 €"))</f>
        <v/>
      </c>
    </row>
    <row r="9">
      <c r="A9" s="12" t="inlineStr">
        <is>
          <t>D · 1 mes + 10 % durante 12 meses</t>
        </is>
      </c>
      <c r="B9" s="13">
        <f>Panel!$B$22</f>
        <v/>
      </c>
      <c r="C9" s="25" t="n">
        <v>0.1</v>
      </c>
      <c r="D9" s="15" t="n">
        <v>12</v>
      </c>
      <c r="E9" s="13">
        <f>B9+C9*Panel!$B$22*MIN(D9,Panel!$B$26)</f>
        <v/>
      </c>
      <c r="F9" s="14">
        <f>IF(Panel!$B$23*Panel!$B$26=0,0,E9/(Panel!$B$23*Panel!$B$26))</f>
        <v/>
      </c>
      <c r="G9" s="12">
        <f>IF(Panel!$B$23&lt;=0,"-",TEXT(E9/Panel!$B$23,"0.0")&amp;" meses · "&amp;TEXT((Panel!$B$23*12-E9)*Panel!$B$13,"#,##0 €"))</f>
        <v/>
      </c>
    </row>
    <row r="10">
      <c r="A10" s="5" t="inlineStr">
        <is>
          <t>E · 2 meses + 5 % durante 12 meses</t>
        </is>
      </c>
      <c r="B10" s="19">
        <f>Panel!$B$22*2</f>
        <v/>
      </c>
      <c r="C10" s="23" t="n">
        <v>0.05</v>
      </c>
      <c r="D10" s="24" t="n">
        <v>12</v>
      </c>
      <c r="E10" s="19">
        <f>B10+C10*Panel!$B$22*MIN(D10,Panel!$B$26)</f>
        <v/>
      </c>
      <c r="F10" s="20">
        <f>IF(Panel!$B$23*Panel!$B$26=0,0,E10/(Panel!$B$23*Panel!$B$26))</f>
        <v/>
      </c>
      <c r="G10" s="5">
        <f>IF(Panel!$B$23&lt;=0,"-",TEXT(E10/Panel!$B$23,"0.0")&amp;" meses · "&amp;TEXT((Panel!$B$23*12-E10)*Panel!$B$13,"#,##0 €"))</f>
        <v/>
      </c>
    </row>
    <row r="12" ht="26" customHeight="1">
      <c r="A12" s="18" t="inlineStr">
        <is>
          <t>La C es la mas cara por cliente y la mas atractiva para el comercial; la A es la mas barata y la que peor alinea, porque cobra igual si el cliente dura un mes que si dura tres anos. La D paga pronto, mantiene el coste de canal contenido y premia la permanencia: es la propuesta.</t>
        </is>
      </c>
    </row>
    <row r="13"/>
    <row r="15">
      <c r="A15" s="3" t="inlineStr">
        <is>
          <t>Por que un comercial a sueldo no sale</t>
        </is>
      </c>
    </row>
    <row r="16" ht="28" customHeight="1">
      <c r="A16" s="4" t="inlineStr">
        <is>
          <t>Concepto</t>
        </is>
      </c>
      <c r="B16" s="4" t="inlineStr">
        <is>
          <t>Valor</t>
        </is>
      </c>
      <c r="C16" s="4" t="inlineStr"/>
      <c r="D16" s="4" t="inlineStr"/>
      <c r="E16" s="4" t="inlineStr"/>
      <c r="F16" s="4" t="inlineStr"/>
      <c r="G16" s="4" t="inlineStr">
        <is>
          <t>Lectura</t>
        </is>
      </c>
    </row>
    <row r="17">
      <c r="A17" s="5" t="inlineStr">
        <is>
          <t>Coste cargado de un comercial</t>
        </is>
      </c>
      <c r="B17" s="9" t="n">
        <v>2400</v>
      </c>
      <c r="C17" s="5" t="n"/>
      <c r="D17" s="5" t="n"/>
      <c r="E17" s="5" t="n"/>
      <c r="F17" s="5" t="n"/>
      <c r="G17" s="5" t="inlineStr">
        <is>
          <t>Sueldo, seguridad social y estructura.</t>
        </is>
      </c>
    </row>
    <row r="18">
      <c r="A18" s="5" t="inlineStr">
        <is>
          <t>Comision recurrente que cobraria</t>
        </is>
      </c>
      <c r="B18" s="6" t="n">
        <v>0.2</v>
      </c>
      <c r="C18" s="5" t="n"/>
      <c r="D18" s="5" t="n"/>
      <c r="E18" s="5" t="n"/>
      <c r="F18" s="5" t="n"/>
      <c r="G18" s="5" t="inlineStr">
        <is>
          <t>Sobre la cuota, no sobre la contribucion.</t>
        </is>
      </c>
    </row>
    <row r="19">
      <c r="A19" s="12" t="inlineStr">
        <is>
          <t>Cuentas activas suyas para cubrirse</t>
        </is>
      </c>
      <c r="B19" s="15">
        <f>IF(Panel!$B$22*$B$18&lt;=0,"-",ROUNDUP($B$17/(Panel!$B$22*$B$18),0))</f>
        <v/>
      </c>
      <c r="C19" s="12" t="n"/>
      <c r="D19" s="12" t="n"/>
      <c r="E19" s="12" t="n"/>
      <c r="F19" s="12" t="n"/>
      <c r="G19" s="12">
        <f>"A las altas del Panel, tardaria "&amp;TEXT(B19/MAX(Panel!$B$13,1),"0.0")&amp;" meses en llegar."</f>
        <v/>
      </c>
    </row>
    <row r="21" ht="26" customHeight="1">
      <c r="A21" s="18" t="inlineStr">
        <is>
          <t>La conclusion no es «vende mas»: con esta cuota media, el canal tiene que ser comision pura, a tiempo parcial o por prescriptor. Una nomina exige una cartera propia que tarda anos en construirse.</t>
        </is>
      </c>
    </row>
    <row r="22"/>
  </sheetData>
  <mergeCells count="3">
    <mergeCell ref="A21:H22"/>
    <mergeCell ref="A12:H13"/>
    <mergeCell ref="A2:H3"/>
  </mergeCells>
  <conditionalFormatting sqref="F6:F10">
    <cfRule type="cellIs" priority="1" operator="greaterThan" dxfId="0">
      <formula>0.2</formula>
    </cfRule>
  </conditionalFormatting>
  <pageMargins left="0.75" right="0.75" top="1" bottom="1" header="0.5" footer="0.5"/>
</worksheet>
</file>

<file path=xl/worksheets/sheet5.xml><?xml version="1.0" encoding="utf-8"?>
<worksheet xmlns="http://schemas.openxmlformats.org/spreadsheetml/2006/main">
  <sheetPr>
    <tabColor rgb="FF2E8B74"/>
    <outlinePr summaryBelow="1" summaryRight="1"/>
    <pageSetUpPr/>
  </sheetPr>
  <dimension ref="A1:H16"/>
  <sheetViews>
    <sheetView showGridLines="0" workbookViewId="0">
      <selection activeCell="A1" sqref="A1"/>
    </sheetView>
  </sheetViews>
  <sheetFormatPr baseColWidth="8" defaultRowHeight="15"/>
  <cols>
    <col width="40" customWidth="1" min="1" max="1"/>
    <col width="18" customWidth="1" min="2" max="2"/>
    <col width="18" customWidth="1" min="3" max="3"/>
    <col width="18" customWidth="1" min="4" max="4"/>
    <col width="18" customWidth="1" min="5" max="5"/>
    <col width="44" customWidth="1" min="6" max="6"/>
  </cols>
  <sheetData>
    <row r="1">
      <c r="A1" s="1" t="inlineStr">
        <is>
          <t>La cuota de implantacion y la caja del alta</t>
        </is>
      </c>
    </row>
    <row r="2" ht="30" customHeight="1">
      <c r="A2" s="2" t="inlineStr">
        <is>
          <t>Una cuota al alta convierte la captacion en caja neutra o positiva. Con cero clientes y sin inversor, esa es la diferencia entre poder pagar a diez comerciales y no poder pagar a uno.</t>
        </is>
      </c>
    </row>
    <row r="3"/>
    <row r="5" ht="28" customHeight="1">
      <c r="A5" s="4" t="inlineStr">
        <is>
          <t>Concepto</t>
        </is>
      </c>
      <c r="B5" s="4" t="inlineStr">
        <is>
          <t>Sin cuota</t>
        </is>
      </c>
      <c r="C5" s="4" t="inlineStr">
        <is>
          <t>Con la cuota del Panel</t>
        </is>
      </c>
      <c r="D5" s="4" t="inlineStr"/>
      <c r="E5" s="4" t="inlineStr"/>
      <c r="F5" s="4" t="inlineStr">
        <is>
          <t>Nota</t>
        </is>
      </c>
    </row>
    <row r="6">
      <c r="A6" s="5" t="inlineStr">
        <is>
          <t>Primera cuota del cliente</t>
        </is>
      </c>
      <c r="B6" s="19">
        <f>Panel!$B$22</f>
        <v/>
      </c>
      <c r="C6" s="19">
        <f>Panel!$B$22</f>
        <v/>
      </c>
      <c r="D6" s="5" t="n"/>
      <c r="E6" s="5" t="n"/>
      <c r="F6" s="5" t="inlineStr">
        <is>
          <t>La mensualidad del mes en que firma.</t>
        </is>
      </c>
    </row>
    <row r="7">
      <c r="A7" s="5" t="inlineStr">
        <is>
          <t>Cuota de implantacion cobrada</t>
        </is>
      </c>
      <c r="B7" s="19" t="n">
        <v>0</v>
      </c>
      <c r="C7" s="19">
        <f>Panel!$B$14*Panel!$B$15</f>
        <v/>
      </c>
      <c r="D7" s="5" t="n"/>
      <c r="E7" s="5" t="n"/>
      <c r="F7" s="5" t="inlineStr">
        <is>
          <t>Se perdona en contratacion anual, de ahi el porcentaje del Panel.</t>
        </is>
      </c>
    </row>
    <row r="8">
      <c r="A8" s="5" t="inlineStr">
        <is>
          <t>Comision pagada al firmar (estructura D)</t>
        </is>
      </c>
      <c r="B8" s="19">
        <f>-Panel!$B$22</f>
        <v/>
      </c>
      <c r="C8" s="19">
        <f>-Panel!$B$22</f>
        <v/>
      </c>
      <c r="D8" s="5" t="n"/>
      <c r="E8" s="5" t="n"/>
      <c r="F8" s="5" t="inlineStr">
        <is>
          <t>La estructura D paga una mensualidad al alta.</t>
        </is>
      </c>
    </row>
    <row r="9">
      <c r="A9" s="12" t="inlineStr">
        <is>
          <t>Caja neta el mes de la firma</t>
        </is>
      </c>
      <c r="B9" s="13">
        <f>SUM(B6:B8)</f>
        <v/>
      </c>
      <c r="C9" s="13">
        <f>SUM(C6:C8)</f>
        <v/>
      </c>
      <c r="D9" s="12" t="n"/>
      <c r="E9" s="12" t="n"/>
      <c r="F9" s="12" t="inlineStr">
        <is>
          <t>Positivo significa que captar no consume caja ese mes.</t>
        </is>
      </c>
    </row>
    <row r="10">
      <c r="A10" s="12" t="inlineStr">
        <is>
          <t>A las altas del Panel, al mes</t>
        </is>
      </c>
      <c r="B10" s="17">
        <f>B9*Panel!$B$13</f>
        <v/>
      </c>
      <c r="C10" s="17">
        <f>C9*Panel!$B$13</f>
        <v/>
      </c>
      <c r="D10" s="12" t="n"/>
      <c r="E10" s="12" t="n"/>
      <c r="F10" s="12" t="inlineStr">
        <is>
          <t>Lo que entra o sale de caja cada mes solo por captar.</t>
        </is>
      </c>
    </row>
    <row r="12">
      <c r="A12" s="5" t="inlineStr">
        <is>
          <t>Compromiso pendiente por ese cliente (10 % x 12 meses)</t>
        </is>
      </c>
      <c r="B12" s="19">
        <f>-0.1*Panel!$B$22*12</f>
        <v/>
      </c>
      <c r="C12" s="19">
        <f>-0.1*Panel!$B$22*12</f>
        <v/>
      </c>
      <c r="D12" s="5" t="n"/>
      <c r="E12" s="5" t="n"/>
      <c r="F12" s="5" t="inlineStr">
        <is>
          <t>No sale de caja al firmar, pero esta comprometido.</t>
        </is>
      </c>
    </row>
    <row r="13">
      <c r="A13" s="5" t="inlineStr">
        <is>
          <t>Coste total del canal por cliente</t>
        </is>
      </c>
      <c r="B13" s="19">
        <f>Canal_Comision!$E$9</f>
        <v/>
      </c>
      <c r="C13" s="19">
        <f>Canal_Comision!$E$9</f>
        <v/>
      </c>
      <c r="D13" s="5" t="n"/>
      <c r="E13" s="5" t="n"/>
      <c r="F13" s="5" t="inlineStr">
        <is>
          <t>Alta mas recurrente, tal como lo calcula la hoja Canal_Comision.</t>
        </is>
      </c>
    </row>
    <row r="15" ht="26" customHeight="1">
      <c r="A15" s="18" t="inlineStr">
        <is>
          <t>El analisis del 16/09/2026 cifraba en «unos 53 EUR» la caja neta de la firma comparando la cuota con la comision de alta (99 - 43). Aqui se desglosa el calculo completo, incluida la primera mensualidad y el compromiso recurrente, para que se vea de donde sale cada euro. Es coherente con lo que el modelo ya reconoce: el onboarding consume entre 30 y 120 minutos de founder que hoy se regalan. La cuota pone precio a ese trabajo en vez de esconderlo en el margen.</t>
        </is>
      </c>
    </row>
    <row r="16"/>
  </sheetData>
  <mergeCells count="2">
    <mergeCell ref="A15:H16"/>
    <mergeCell ref="A2:H3"/>
  </mergeCells>
  <conditionalFormatting sqref="B9:B13">
    <cfRule type="cellIs" priority="1" operator="lessThan" dxfId="0">
      <formula>0</formula>
    </cfRule>
    <cfRule type="cellIs" priority="2" operator="greaterThanOrEqual" dxfId="1">
      <formula>0</formula>
    </cfRule>
  </conditionalFormatting>
  <conditionalFormatting sqref="C9:C13">
    <cfRule type="cellIs" priority="3" operator="lessThan" dxfId="0">
      <formula>0</formula>
    </cfRule>
    <cfRule type="cellIs" priority="4" operator="greaterThanOrEqual" dxfId="1">
      <formula>0</formula>
    </cfRule>
  </conditionalFormatting>
  <pageMargins left="0.75" right="0.75" top="1" bottom="1" header="0.5" footer="0.5"/>
</worksheet>
</file>

<file path=xl/worksheets/sheet6.xml><?xml version="1.0" encoding="utf-8"?>
<worksheet xmlns="http://schemas.openxmlformats.org/spreadsheetml/2006/main">
  <sheetPr>
    <tabColor rgb="FF2E8B74"/>
    <outlinePr summaryBelow="1" summaryRight="1"/>
    <pageSetUpPr/>
  </sheetPr>
  <dimension ref="A1:I50"/>
  <sheetViews>
    <sheetView showGridLines="0" workbookViewId="0">
      <selection activeCell="A1" sqref="A1"/>
    </sheetView>
  </sheetViews>
  <sheetFormatPr baseColWidth="8" defaultRowHeight="15"/>
  <cols>
    <col width="10" customWidth="1" min="1" max="1"/>
    <col width="16" customWidth="1" min="2" max="2"/>
    <col width="14" customWidth="1" min="3" max="3"/>
    <col width="16" customWidth="1" min="4" max="4"/>
    <col width="16" customWidth="1" min="5" max="5"/>
    <col width="16" customWidth="1" min="6" max="6"/>
    <col width="16" customWidth="1" min="7" max="7"/>
    <col width="16" customWidth="1" min="8" max="8"/>
    <col width="18" customWidth="1" min="9" max="9"/>
  </cols>
  <sheetData>
    <row r="1">
      <c r="A1" s="1" t="inlineStr">
        <is>
          <t>Caja mes a mes, 36 meses</t>
        </is>
      </c>
    </row>
    <row r="2" ht="30" customHeight="1">
      <c r="A2" s="2" t="inlineStr">
        <is>
          <t>El break-even en numero de cuentas no dice cuantos meses cuesta llegar ni cuanto dinero hay que poner por el camino, que es la pregunta que de verdad limita. Cada mes entran las altas del Panel y se van las bajas; la comision es la estructura D.</t>
        </is>
      </c>
    </row>
    <row r="3"/>
    <row r="5">
      <c r="A5" s="3" t="inlineStr">
        <is>
          <t>Resumen</t>
        </is>
      </c>
    </row>
    <row r="6">
      <c r="A6" s="12" t="inlineStr">
        <is>
          <t>Mes en que el resultado mensual se vuelve positivo</t>
        </is>
      </c>
      <c r="B6" s="15">
        <f>IFERROR(INDEX($A$12:$A$47,MATCH(TRUE,INDEX($H$12:$H$47&gt;0,0),0)),"no llega en 36 meses")</f>
        <v/>
      </c>
    </row>
    <row r="7">
      <c r="A7" s="12" t="inlineStr">
        <is>
          <t>Caja minima (el punto mas bajo de la curva)</t>
        </is>
      </c>
      <c r="B7" s="17">
        <f>MIN($I$12:$I$47)</f>
        <v/>
      </c>
    </row>
    <row r="8">
      <c r="A8" s="12" t="inlineStr">
        <is>
          <t>Cuentas activas al mes 36</t>
        </is>
      </c>
      <c r="B8" s="15">
        <f>$C$47</f>
        <v/>
      </c>
    </row>
    <row r="9">
      <c r="A9" s="12" t="inlineStr">
        <is>
          <t>Caja acumulada al mes 36</t>
        </is>
      </c>
      <c r="B9" s="17">
        <f>$I$47</f>
        <v/>
      </c>
    </row>
    <row r="11" ht="28" customHeight="1">
      <c r="A11" s="4" t="inlineStr">
        <is>
          <t>Mes</t>
        </is>
      </c>
      <c r="B11" s="4" t="inlineStr">
        <is>
          <t>Altas</t>
        </is>
      </c>
      <c r="C11" s="4" t="inlineStr">
        <is>
          <t>Cuentas activas</t>
        </is>
      </c>
      <c r="D11" s="4" t="inlineStr">
        <is>
          <t>Ingreso (MRR)</t>
        </is>
      </c>
      <c r="E11" s="4" t="inlineStr">
        <is>
          <t>Contribucion</t>
        </is>
      </c>
      <c r="F11" s="4" t="inlineStr">
        <is>
          <t>Comision del canal</t>
        </is>
      </c>
      <c r="G11" s="4" t="inlineStr">
        <is>
          <t>Implantacion cobrada</t>
        </is>
      </c>
      <c r="H11" s="4" t="inlineStr">
        <is>
          <t>Resultado del mes</t>
        </is>
      </c>
      <c r="I11" s="4" t="inlineStr">
        <is>
          <t>Caja acumulada</t>
        </is>
      </c>
    </row>
    <row r="12">
      <c r="A12" s="24" t="n">
        <v>1</v>
      </c>
      <c r="B12" s="24">
        <f>Panel!$B$13</f>
        <v/>
      </c>
      <c r="C12" s="22">
        <f>B12</f>
        <v/>
      </c>
      <c r="D12" s="21">
        <f>C12*Panel!$B$22</f>
        <v/>
      </c>
      <c r="E12" s="21">
        <f>C12*Panel!$B$23</f>
        <v/>
      </c>
      <c r="F12" s="21">
        <f>-(B12*Panel!$B$22+0.1*Panel!$B$22*MIN(C12,SUM(B12:B12)))</f>
        <v/>
      </c>
      <c r="G12" s="21">
        <f>B12*Panel!$B$14*Panel!$B$15</f>
        <v/>
      </c>
      <c r="H12" s="21">
        <f>E12+F12+G12-Panel!$B$12</f>
        <v/>
      </c>
      <c r="I12" s="21">
        <f>Panel!$B$16+H12</f>
        <v/>
      </c>
    </row>
    <row r="13">
      <c r="A13" s="24" t="n">
        <v>2</v>
      </c>
      <c r="B13" s="24">
        <f>Panel!$B$13</f>
        <v/>
      </c>
      <c r="C13" s="22">
        <f>C12*(1-Panel!$B$10)+B13</f>
        <v/>
      </c>
      <c r="D13" s="21">
        <f>C13*Panel!$B$22</f>
        <v/>
      </c>
      <c r="E13" s="21">
        <f>C13*Panel!$B$23</f>
        <v/>
      </c>
      <c r="F13" s="21">
        <f>-(B13*Panel!$B$22+0.1*Panel!$B$22*MIN(C13,SUM(B13:B13)))</f>
        <v/>
      </c>
      <c r="G13" s="21">
        <f>B13*Panel!$B$14*Panel!$B$15</f>
        <v/>
      </c>
      <c r="H13" s="21">
        <f>E13+F13+G13-Panel!$B$12</f>
        <v/>
      </c>
      <c r="I13" s="21">
        <f>I12+H13</f>
        <v/>
      </c>
    </row>
    <row r="14">
      <c r="A14" s="24" t="n">
        <v>3</v>
      </c>
      <c r="B14" s="24">
        <f>Panel!$B$13</f>
        <v/>
      </c>
      <c r="C14" s="22">
        <f>C13*(1-Panel!$B$10)+B14</f>
        <v/>
      </c>
      <c r="D14" s="21">
        <f>C14*Panel!$B$22</f>
        <v/>
      </c>
      <c r="E14" s="21">
        <f>C14*Panel!$B$23</f>
        <v/>
      </c>
      <c r="F14" s="21">
        <f>-(B14*Panel!$B$22+0.1*Panel!$B$22*MIN(C14,SUM(B14:B14)))</f>
        <v/>
      </c>
      <c r="G14" s="21">
        <f>B14*Panel!$B$14*Panel!$B$15</f>
        <v/>
      </c>
      <c r="H14" s="21">
        <f>E14+F14+G14-Panel!$B$12</f>
        <v/>
      </c>
      <c r="I14" s="21">
        <f>I13+H14</f>
        <v/>
      </c>
    </row>
    <row r="15">
      <c r="A15" s="24" t="n">
        <v>4</v>
      </c>
      <c r="B15" s="24">
        <f>Panel!$B$13</f>
        <v/>
      </c>
      <c r="C15" s="22">
        <f>C14*(1-Panel!$B$10)+B15</f>
        <v/>
      </c>
      <c r="D15" s="21">
        <f>C15*Panel!$B$22</f>
        <v/>
      </c>
      <c r="E15" s="21">
        <f>C15*Panel!$B$23</f>
        <v/>
      </c>
      <c r="F15" s="21">
        <f>-(B15*Panel!$B$22+0.1*Panel!$B$22*MIN(C15,SUM(B15:B15)))</f>
        <v/>
      </c>
      <c r="G15" s="21">
        <f>B15*Panel!$B$14*Panel!$B$15</f>
        <v/>
      </c>
      <c r="H15" s="21">
        <f>E15+F15+G15-Panel!$B$12</f>
        <v/>
      </c>
      <c r="I15" s="21">
        <f>I14+H15</f>
        <v/>
      </c>
    </row>
    <row r="16">
      <c r="A16" s="24" t="n">
        <v>5</v>
      </c>
      <c r="B16" s="24">
        <f>Panel!$B$13</f>
        <v/>
      </c>
      <c r="C16" s="22">
        <f>C15*(1-Panel!$B$10)+B16</f>
        <v/>
      </c>
      <c r="D16" s="21">
        <f>C16*Panel!$B$22</f>
        <v/>
      </c>
      <c r="E16" s="21">
        <f>C16*Panel!$B$23</f>
        <v/>
      </c>
      <c r="F16" s="21">
        <f>-(B16*Panel!$B$22+0.1*Panel!$B$22*MIN(C16,SUM(B16:B16)))</f>
        <v/>
      </c>
      <c r="G16" s="21">
        <f>B16*Panel!$B$14*Panel!$B$15</f>
        <v/>
      </c>
      <c r="H16" s="21">
        <f>E16+F16+G16-Panel!$B$12</f>
        <v/>
      </c>
      <c r="I16" s="21">
        <f>I15+H16</f>
        <v/>
      </c>
    </row>
    <row r="17">
      <c r="A17" s="24" t="n">
        <v>6</v>
      </c>
      <c r="B17" s="24">
        <f>Panel!$B$13</f>
        <v/>
      </c>
      <c r="C17" s="22">
        <f>C16*(1-Panel!$B$10)+B17</f>
        <v/>
      </c>
      <c r="D17" s="21">
        <f>C17*Panel!$B$22</f>
        <v/>
      </c>
      <c r="E17" s="21">
        <f>C17*Panel!$B$23</f>
        <v/>
      </c>
      <c r="F17" s="21">
        <f>-(B17*Panel!$B$22+0.1*Panel!$B$22*MIN(C17,SUM(B17:B17)))</f>
        <v/>
      </c>
      <c r="G17" s="21">
        <f>B17*Panel!$B$14*Panel!$B$15</f>
        <v/>
      </c>
      <c r="H17" s="21">
        <f>E17+F17+G17-Panel!$B$12</f>
        <v/>
      </c>
      <c r="I17" s="21">
        <f>I16+H17</f>
        <v/>
      </c>
    </row>
    <row r="18">
      <c r="A18" s="24" t="n">
        <v>7</v>
      </c>
      <c r="B18" s="24">
        <f>Panel!$B$13</f>
        <v/>
      </c>
      <c r="C18" s="22">
        <f>C17*(1-Panel!$B$10)+B18</f>
        <v/>
      </c>
      <c r="D18" s="21">
        <f>C18*Panel!$B$22</f>
        <v/>
      </c>
      <c r="E18" s="21">
        <f>C18*Panel!$B$23</f>
        <v/>
      </c>
      <c r="F18" s="21">
        <f>-(B18*Panel!$B$22+0.1*Panel!$B$22*MIN(C18,SUM(B18:B18)))</f>
        <v/>
      </c>
      <c r="G18" s="21">
        <f>B18*Panel!$B$14*Panel!$B$15</f>
        <v/>
      </c>
      <c r="H18" s="21">
        <f>E18+F18+G18-Panel!$B$12</f>
        <v/>
      </c>
      <c r="I18" s="21">
        <f>I17+H18</f>
        <v/>
      </c>
    </row>
    <row r="19">
      <c r="A19" s="24" t="n">
        <v>8</v>
      </c>
      <c r="B19" s="24">
        <f>Panel!$B$13</f>
        <v/>
      </c>
      <c r="C19" s="22">
        <f>C18*(1-Panel!$B$10)+B19</f>
        <v/>
      </c>
      <c r="D19" s="21">
        <f>C19*Panel!$B$22</f>
        <v/>
      </c>
      <c r="E19" s="21">
        <f>C19*Panel!$B$23</f>
        <v/>
      </c>
      <c r="F19" s="21">
        <f>-(B19*Panel!$B$22+0.1*Panel!$B$22*MIN(C19,SUM(B19:B19)))</f>
        <v/>
      </c>
      <c r="G19" s="21">
        <f>B19*Panel!$B$14*Panel!$B$15</f>
        <v/>
      </c>
      <c r="H19" s="21">
        <f>E19+F19+G19-Panel!$B$12</f>
        <v/>
      </c>
      <c r="I19" s="21">
        <f>I18+H19</f>
        <v/>
      </c>
    </row>
    <row r="20">
      <c r="A20" s="24" t="n">
        <v>9</v>
      </c>
      <c r="B20" s="24">
        <f>Panel!$B$13</f>
        <v/>
      </c>
      <c r="C20" s="22">
        <f>C19*(1-Panel!$B$10)+B20</f>
        <v/>
      </c>
      <c r="D20" s="21">
        <f>C20*Panel!$B$22</f>
        <v/>
      </c>
      <c r="E20" s="21">
        <f>C20*Panel!$B$23</f>
        <v/>
      </c>
      <c r="F20" s="21">
        <f>-(B20*Panel!$B$22+0.1*Panel!$B$22*MIN(C20,SUM(B20:B20)))</f>
        <v/>
      </c>
      <c r="G20" s="21">
        <f>B20*Panel!$B$14*Panel!$B$15</f>
        <v/>
      </c>
      <c r="H20" s="21">
        <f>E20+F20+G20-Panel!$B$12</f>
        <v/>
      </c>
      <c r="I20" s="21">
        <f>I19+H20</f>
        <v/>
      </c>
    </row>
    <row r="21">
      <c r="A21" s="24" t="n">
        <v>10</v>
      </c>
      <c r="B21" s="24">
        <f>Panel!$B$13</f>
        <v/>
      </c>
      <c r="C21" s="22">
        <f>C20*(1-Panel!$B$10)+B21</f>
        <v/>
      </c>
      <c r="D21" s="21">
        <f>C21*Panel!$B$22</f>
        <v/>
      </c>
      <c r="E21" s="21">
        <f>C21*Panel!$B$23</f>
        <v/>
      </c>
      <c r="F21" s="21">
        <f>-(B21*Panel!$B$22+0.1*Panel!$B$22*MIN(C21,SUM(B21:B21)))</f>
        <v/>
      </c>
      <c r="G21" s="21">
        <f>B21*Panel!$B$14*Panel!$B$15</f>
        <v/>
      </c>
      <c r="H21" s="21">
        <f>E21+F21+G21-Panel!$B$12</f>
        <v/>
      </c>
      <c r="I21" s="21">
        <f>I20+H21</f>
        <v/>
      </c>
    </row>
    <row r="22">
      <c r="A22" s="24" t="n">
        <v>11</v>
      </c>
      <c r="B22" s="24">
        <f>Panel!$B$13</f>
        <v/>
      </c>
      <c r="C22" s="22">
        <f>C21*(1-Panel!$B$10)+B22</f>
        <v/>
      </c>
      <c r="D22" s="21">
        <f>C22*Panel!$B$22</f>
        <v/>
      </c>
      <c r="E22" s="21">
        <f>C22*Panel!$B$23</f>
        <v/>
      </c>
      <c r="F22" s="21">
        <f>-(B22*Panel!$B$22+0.1*Panel!$B$22*MIN(C22,SUM(B22:B22)))</f>
        <v/>
      </c>
      <c r="G22" s="21">
        <f>B22*Panel!$B$14*Panel!$B$15</f>
        <v/>
      </c>
      <c r="H22" s="21">
        <f>E22+F22+G22-Panel!$B$12</f>
        <v/>
      </c>
      <c r="I22" s="21">
        <f>I21+H22</f>
        <v/>
      </c>
    </row>
    <row r="23">
      <c r="A23" s="24" t="n">
        <v>12</v>
      </c>
      <c r="B23" s="24">
        <f>Panel!$B$13</f>
        <v/>
      </c>
      <c r="C23" s="22">
        <f>C22*(1-Panel!$B$10)+B23</f>
        <v/>
      </c>
      <c r="D23" s="21">
        <f>C23*Panel!$B$22</f>
        <v/>
      </c>
      <c r="E23" s="21">
        <f>C23*Panel!$B$23</f>
        <v/>
      </c>
      <c r="F23" s="21">
        <f>-(B23*Panel!$B$22+0.1*Panel!$B$22*MIN(C23,SUM(B23:B23)))</f>
        <v/>
      </c>
      <c r="G23" s="21">
        <f>B23*Panel!$B$14*Panel!$B$15</f>
        <v/>
      </c>
      <c r="H23" s="21">
        <f>E23+F23+G23-Panel!$B$12</f>
        <v/>
      </c>
      <c r="I23" s="21">
        <f>I22+H23</f>
        <v/>
      </c>
    </row>
    <row r="24">
      <c r="A24" s="24" t="n">
        <v>13</v>
      </c>
      <c r="B24" s="24">
        <f>Panel!$B$13</f>
        <v/>
      </c>
      <c r="C24" s="22">
        <f>C23*(1-Panel!$B$10)+B24</f>
        <v/>
      </c>
      <c r="D24" s="21">
        <f>C24*Panel!$B$22</f>
        <v/>
      </c>
      <c r="E24" s="21">
        <f>C24*Panel!$B$23</f>
        <v/>
      </c>
      <c r="F24" s="21">
        <f>-(B24*Panel!$B$22+0.1*Panel!$B$22*MIN(C24,SUM(B24:B24)))</f>
        <v/>
      </c>
      <c r="G24" s="21">
        <f>B24*Panel!$B$14*Panel!$B$15</f>
        <v/>
      </c>
      <c r="H24" s="21">
        <f>E24+F24+G24-Panel!$B$12</f>
        <v/>
      </c>
      <c r="I24" s="21">
        <f>I23+H24</f>
        <v/>
      </c>
    </row>
    <row r="25">
      <c r="A25" s="24" t="n">
        <v>14</v>
      </c>
      <c r="B25" s="24">
        <f>Panel!$B$13</f>
        <v/>
      </c>
      <c r="C25" s="22">
        <f>C24*(1-Panel!$B$10)+B25</f>
        <v/>
      </c>
      <c r="D25" s="21">
        <f>C25*Panel!$B$22</f>
        <v/>
      </c>
      <c r="E25" s="21">
        <f>C25*Panel!$B$23</f>
        <v/>
      </c>
      <c r="F25" s="21">
        <f>-(B25*Panel!$B$22+0.1*Panel!$B$22*MIN(C25,SUM(B25:B25)))</f>
        <v/>
      </c>
      <c r="G25" s="21">
        <f>B25*Panel!$B$14*Panel!$B$15</f>
        <v/>
      </c>
      <c r="H25" s="21">
        <f>E25+F25+G25-Panel!$B$12</f>
        <v/>
      </c>
      <c r="I25" s="21">
        <f>I24+H25</f>
        <v/>
      </c>
    </row>
    <row r="26">
      <c r="A26" s="24" t="n">
        <v>15</v>
      </c>
      <c r="B26" s="24">
        <f>Panel!$B$13</f>
        <v/>
      </c>
      <c r="C26" s="22">
        <f>C25*(1-Panel!$B$10)+B26</f>
        <v/>
      </c>
      <c r="D26" s="21">
        <f>C26*Panel!$B$22</f>
        <v/>
      </c>
      <c r="E26" s="21">
        <f>C26*Panel!$B$23</f>
        <v/>
      </c>
      <c r="F26" s="21">
        <f>-(B26*Panel!$B$22+0.1*Panel!$B$22*MIN(C26,SUM(B26:B26)))</f>
        <v/>
      </c>
      <c r="G26" s="21">
        <f>B26*Panel!$B$14*Panel!$B$15</f>
        <v/>
      </c>
      <c r="H26" s="21">
        <f>E26+F26+G26-Panel!$B$12</f>
        <v/>
      </c>
      <c r="I26" s="21">
        <f>I25+H26</f>
        <v/>
      </c>
    </row>
    <row r="27">
      <c r="A27" s="24" t="n">
        <v>16</v>
      </c>
      <c r="B27" s="24">
        <f>Panel!$B$13</f>
        <v/>
      </c>
      <c r="C27" s="22">
        <f>C26*(1-Panel!$B$10)+B27</f>
        <v/>
      </c>
      <c r="D27" s="21">
        <f>C27*Panel!$B$22</f>
        <v/>
      </c>
      <c r="E27" s="21">
        <f>C27*Panel!$B$23</f>
        <v/>
      </c>
      <c r="F27" s="21">
        <f>-(B27*Panel!$B$22+0.1*Panel!$B$22*MIN(C27,SUM(B27:B27)))</f>
        <v/>
      </c>
      <c r="G27" s="21">
        <f>B27*Panel!$B$14*Panel!$B$15</f>
        <v/>
      </c>
      <c r="H27" s="21">
        <f>E27+F27+G27-Panel!$B$12</f>
        <v/>
      </c>
      <c r="I27" s="21">
        <f>I26+H27</f>
        <v/>
      </c>
    </row>
    <row r="28">
      <c r="A28" s="24" t="n">
        <v>17</v>
      </c>
      <c r="B28" s="24">
        <f>Panel!$B$13</f>
        <v/>
      </c>
      <c r="C28" s="22">
        <f>C27*(1-Panel!$B$10)+B28</f>
        <v/>
      </c>
      <c r="D28" s="21">
        <f>C28*Panel!$B$22</f>
        <v/>
      </c>
      <c r="E28" s="21">
        <f>C28*Panel!$B$23</f>
        <v/>
      </c>
      <c r="F28" s="21">
        <f>-(B28*Panel!$B$22+0.1*Panel!$B$22*MIN(C28,SUM(B28:B28)))</f>
        <v/>
      </c>
      <c r="G28" s="21">
        <f>B28*Panel!$B$14*Panel!$B$15</f>
        <v/>
      </c>
      <c r="H28" s="21">
        <f>E28+F28+G28-Panel!$B$12</f>
        <v/>
      </c>
      <c r="I28" s="21">
        <f>I27+H28</f>
        <v/>
      </c>
    </row>
    <row r="29">
      <c r="A29" s="24" t="n">
        <v>18</v>
      </c>
      <c r="B29" s="24">
        <f>Panel!$B$13</f>
        <v/>
      </c>
      <c r="C29" s="22">
        <f>C28*(1-Panel!$B$10)+B29</f>
        <v/>
      </c>
      <c r="D29" s="21">
        <f>C29*Panel!$B$22</f>
        <v/>
      </c>
      <c r="E29" s="21">
        <f>C29*Panel!$B$23</f>
        <v/>
      </c>
      <c r="F29" s="21">
        <f>-(B29*Panel!$B$22+0.1*Panel!$B$22*MIN(C29,SUM(B29:B29)))</f>
        <v/>
      </c>
      <c r="G29" s="21">
        <f>B29*Panel!$B$14*Panel!$B$15</f>
        <v/>
      </c>
      <c r="H29" s="21">
        <f>E29+F29+G29-Panel!$B$12</f>
        <v/>
      </c>
      <c r="I29" s="21">
        <f>I28+H29</f>
        <v/>
      </c>
    </row>
    <row r="30">
      <c r="A30" s="24" t="n">
        <v>19</v>
      </c>
      <c r="B30" s="24">
        <f>Panel!$B$13</f>
        <v/>
      </c>
      <c r="C30" s="22">
        <f>C29*(1-Panel!$B$10)+B30</f>
        <v/>
      </c>
      <c r="D30" s="21">
        <f>C30*Panel!$B$22</f>
        <v/>
      </c>
      <c r="E30" s="21">
        <f>C30*Panel!$B$23</f>
        <v/>
      </c>
      <c r="F30" s="21">
        <f>-(B30*Panel!$B$22+0.1*Panel!$B$22*MIN(C30,SUM(B30:B30)))</f>
        <v/>
      </c>
      <c r="G30" s="21">
        <f>B30*Panel!$B$14*Panel!$B$15</f>
        <v/>
      </c>
      <c r="H30" s="21">
        <f>E30+F30+G30-Panel!$B$12</f>
        <v/>
      </c>
      <c r="I30" s="21">
        <f>I29+H30</f>
        <v/>
      </c>
    </row>
    <row r="31">
      <c r="A31" s="24" t="n">
        <v>20</v>
      </c>
      <c r="B31" s="24">
        <f>Panel!$B$13</f>
        <v/>
      </c>
      <c r="C31" s="22">
        <f>C30*(1-Panel!$B$10)+B31</f>
        <v/>
      </c>
      <c r="D31" s="21">
        <f>C31*Panel!$B$22</f>
        <v/>
      </c>
      <c r="E31" s="21">
        <f>C31*Panel!$B$23</f>
        <v/>
      </c>
      <c r="F31" s="21">
        <f>-(B31*Panel!$B$22+0.1*Panel!$B$22*MIN(C31,SUM(B31:B31)))</f>
        <v/>
      </c>
      <c r="G31" s="21">
        <f>B31*Panel!$B$14*Panel!$B$15</f>
        <v/>
      </c>
      <c r="H31" s="21">
        <f>E31+F31+G31-Panel!$B$12</f>
        <v/>
      </c>
      <c r="I31" s="21">
        <f>I30+H31</f>
        <v/>
      </c>
    </row>
    <row r="32">
      <c r="A32" s="24" t="n">
        <v>21</v>
      </c>
      <c r="B32" s="24">
        <f>Panel!$B$13</f>
        <v/>
      </c>
      <c r="C32" s="22">
        <f>C31*(1-Panel!$B$10)+B32</f>
        <v/>
      </c>
      <c r="D32" s="21">
        <f>C32*Panel!$B$22</f>
        <v/>
      </c>
      <c r="E32" s="21">
        <f>C32*Panel!$B$23</f>
        <v/>
      </c>
      <c r="F32" s="21">
        <f>-(B32*Panel!$B$22+0.1*Panel!$B$22*MIN(C32,SUM(B32:B32)))</f>
        <v/>
      </c>
      <c r="G32" s="21">
        <f>B32*Panel!$B$14*Panel!$B$15</f>
        <v/>
      </c>
      <c r="H32" s="21">
        <f>E32+F32+G32-Panel!$B$12</f>
        <v/>
      </c>
      <c r="I32" s="21">
        <f>I31+H32</f>
        <v/>
      </c>
    </row>
    <row r="33">
      <c r="A33" s="24" t="n">
        <v>22</v>
      </c>
      <c r="B33" s="24">
        <f>Panel!$B$13</f>
        <v/>
      </c>
      <c r="C33" s="22">
        <f>C32*(1-Panel!$B$10)+B33</f>
        <v/>
      </c>
      <c r="D33" s="21">
        <f>C33*Panel!$B$22</f>
        <v/>
      </c>
      <c r="E33" s="21">
        <f>C33*Panel!$B$23</f>
        <v/>
      </c>
      <c r="F33" s="21">
        <f>-(B33*Panel!$B$22+0.1*Panel!$B$22*MIN(C33,SUM(B33:B33)))</f>
        <v/>
      </c>
      <c r="G33" s="21">
        <f>B33*Panel!$B$14*Panel!$B$15</f>
        <v/>
      </c>
      <c r="H33" s="21">
        <f>E33+F33+G33-Panel!$B$12</f>
        <v/>
      </c>
      <c r="I33" s="21">
        <f>I32+H33</f>
        <v/>
      </c>
    </row>
    <row r="34">
      <c r="A34" s="24" t="n">
        <v>23</v>
      </c>
      <c r="B34" s="24">
        <f>Panel!$B$13</f>
        <v/>
      </c>
      <c r="C34" s="22">
        <f>C33*(1-Panel!$B$10)+B34</f>
        <v/>
      </c>
      <c r="D34" s="21">
        <f>C34*Panel!$B$22</f>
        <v/>
      </c>
      <c r="E34" s="21">
        <f>C34*Panel!$B$23</f>
        <v/>
      </c>
      <c r="F34" s="21">
        <f>-(B34*Panel!$B$22+0.1*Panel!$B$22*MIN(C34,SUM(B34:B34)))</f>
        <v/>
      </c>
      <c r="G34" s="21">
        <f>B34*Panel!$B$14*Panel!$B$15</f>
        <v/>
      </c>
      <c r="H34" s="21">
        <f>E34+F34+G34-Panel!$B$12</f>
        <v/>
      </c>
      <c r="I34" s="21">
        <f>I33+H34</f>
        <v/>
      </c>
    </row>
    <row r="35">
      <c r="A35" s="24" t="n">
        <v>24</v>
      </c>
      <c r="B35" s="24">
        <f>Panel!$B$13</f>
        <v/>
      </c>
      <c r="C35" s="22">
        <f>C34*(1-Panel!$B$10)+B35</f>
        <v/>
      </c>
      <c r="D35" s="21">
        <f>C35*Panel!$B$22</f>
        <v/>
      </c>
      <c r="E35" s="21">
        <f>C35*Panel!$B$23</f>
        <v/>
      </c>
      <c r="F35" s="21">
        <f>-(B35*Panel!$B$22+0.1*Panel!$B$22*MIN(C35,SUM(B35:B35)))</f>
        <v/>
      </c>
      <c r="G35" s="21">
        <f>B35*Panel!$B$14*Panel!$B$15</f>
        <v/>
      </c>
      <c r="H35" s="21">
        <f>E35+F35+G35-Panel!$B$12</f>
        <v/>
      </c>
      <c r="I35" s="21">
        <f>I34+H35</f>
        <v/>
      </c>
    </row>
    <row r="36">
      <c r="A36" s="24" t="n">
        <v>25</v>
      </c>
      <c r="B36" s="24">
        <f>Panel!$B$13</f>
        <v/>
      </c>
      <c r="C36" s="22">
        <f>C35*(1-Panel!$B$10)+B36</f>
        <v/>
      </c>
      <c r="D36" s="21">
        <f>C36*Panel!$B$22</f>
        <v/>
      </c>
      <c r="E36" s="21">
        <f>C36*Panel!$B$23</f>
        <v/>
      </c>
      <c r="F36" s="21">
        <f>-(B36*Panel!$B$22+0.1*Panel!$B$22*MIN(C36,SUM(B36:B36)))</f>
        <v/>
      </c>
      <c r="G36" s="21">
        <f>B36*Panel!$B$14*Panel!$B$15</f>
        <v/>
      </c>
      <c r="H36" s="21">
        <f>E36+F36+G36-Panel!$B$12</f>
        <v/>
      </c>
      <c r="I36" s="21">
        <f>I35+H36</f>
        <v/>
      </c>
    </row>
    <row r="37">
      <c r="A37" s="24" t="n">
        <v>26</v>
      </c>
      <c r="B37" s="24">
        <f>Panel!$B$13</f>
        <v/>
      </c>
      <c r="C37" s="22">
        <f>C36*(1-Panel!$B$10)+B37</f>
        <v/>
      </c>
      <c r="D37" s="21">
        <f>C37*Panel!$B$22</f>
        <v/>
      </c>
      <c r="E37" s="21">
        <f>C37*Panel!$B$23</f>
        <v/>
      </c>
      <c r="F37" s="21">
        <f>-(B37*Panel!$B$22+0.1*Panel!$B$22*MIN(C37,SUM(B37:B37)))</f>
        <v/>
      </c>
      <c r="G37" s="21">
        <f>B37*Panel!$B$14*Panel!$B$15</f>
        <v/>
      </c>
      <c r="H37" s="21">
        <f>E37+F37+G37-Panel!$B$12</f>
        <v/>
      </c>
      <c r="I37" s="21">
        <f>I36+H37</f>
        <v/>
      </c>
    </row>
    <row r="38">
      <c r="A38" s="24" t="n">
        <v>27</v>
      </c>
      <c r="B38" s="24">
        <f>Panel!$B$13</f>
        <v/>
      </c>
      <c r="C38" s="22">
        <f>C37*(1-Panel!$B$10)+B38</f>
        <v/>
      </c>
      <c r="D38" s="21">
        <f>C38*Panel!$B$22</f>
        <v/>
      </c>
      <c r="E38" s="21">
        <f>C38*Panel!$B$23</f>
        <v/>
      </c>
      <c r="F38" s="21">
        <f>-(B38*Panel!$B$22+0.1*Panel!$B$22*MIN(C38,SUM(B38:B38)))</f>
        <v/>
      </c>
      <c r="G38" s="21">
        <f>B38*Panel!$B$14*Panel!$B$15</f>
        <v/>
      </c>
      <c r="H38" s="21">
        <f>E38+F38+G38-Panel!$B$12</f>
        <v/>
      </c>
      <c r="I38" s="21">
        <f>I37+H38</f>
        <v/>
      </c>
    </row>
    <row r="39">
      <c r="A39" s="24" t="n">
        <v>28</v>
      </c>
      <c r="B39" s="24">
        <f>Panel!$B$13</f>
        <v/>
      </c>
      <c r="C39" s="22">
        <f>C38*(1-Panel!$B$10)+B39</f>
        <v/>
      </c>
      <c r="D39" s="21">
        <f>C39*Panel!$B$22</f>
        <v/>
      </c>
      <c r="E39" s="21">
        <f>C39*Panel!$B$23</f>
        <v/>
      </c>
      <c r="F39" s="21">
        <f>-(B39*Panel!$B$22+0.1*Panel!$B$22*MIN(C39,SUM(B39:B39)))</f>
        <v/>
      </c>
      <c r="G39" s="21">
        <f>B39*Panel!$B$14*Panel!$B$15</f>
        <v/>
      </c>
      <c r="H39" s="21">
        <f>E39+F39+G39-Panel!$B$12</f>
        <v/>
      </c>
      <c r="I39" s="21">
        <f>I38+H39</f>
        <v/>
      </c>
    </row>
    <row r="40">
      <c r="A40" s="24" t="n">
        <v>29</v>
      </c>
      <c r="B40" s="24">
        <f>Panel!$B$13</f>
        <v/>
      </c>
      <c r="C40" s="22">
        <f>C39*(1-Panel!$B$10)+B40</f>
        <v/>
      </c>
      <c r="D40" s="21">
        <f>C40*Panel!$B$22</f>
        <v/>
      </c>
      <c r="E40" s="21">
        <f>C40*Panel!$B$23</f>
        <v/>
      </c>
      <c r="F40" s="21">
        <f>-(B40*Panel!$B$22+0.1*Panel!$B$22*MIN(C40,SUM(B40:B40)))</f>
        <v/>
      </c>
      <c r="G40" s="21">
        <f>B40*Panel!$B$14*Panel!$B$15</f>
        <v/>
      </c>
      <c r="H40" s="21">
        <f>E40+F40+G40-Panel!$B$12</f>
        <v/>
      </c>
      <c r="I40" s="21">
        <f>I39+H40</f>
        <v/>
      </c>
    </row>
    <row r="41">
      <c r="A41" s="24" t="n">
        <v>30</v>
      </c>
      <c r="B41" s="24">
        <f>Panel!$B$13</f>
        <v/>
      </c>
      <c r="C41" s="22">
        <f>C40*(1-Panel!$B$10)+B41</f>
        <v/>
      </c>
      <c r="D41" s="21">
        <f>C41*Panel!$B$22</f>
        <v/>
      </c>
      <c r="E41" s="21">
        <f>C41*Panel!$B$23</f>
        <v/>
      </c>
      <c r="F41" s="21">
        <f>-(B41*Panel!$B$22+0.1*Panel!$B$22*MIN(C41,SUM(B41:B41)))</f>
        <v/>
      </c>
      <c r="G41" s="21">
        <f>B41*Panel!$B$14*Panel!$B$15</f>
        <v/>
      </c>
      <c r="H41" s="21">
        <f>E41+F41+G41-Panel!$B$12</f>
        <v/>
      </c>
      <c r="I41" s="21">
        <f>I40+H41</f>
        <v/>
      </c>
    </row>
    <row r="42">
      <c r="A42" s="24" t="n">
        <v>31</v>
      </c>
      <c r="B42" s="24">
        <f>Panel!$B$13</f>
        <v/>
      </c>
      <c r="C42" s="22">
        <f>C41*(1-Panel!$B$10)+B42</f>
        <v/>
      </c>
      <c r="D42" s="21">
        <f>C42*Panel!$B$22</f>
        <v/>
      </c>
      <c r="E42" s="21">
        <f>C42*Panel!$B$23</f>
        <v/>
      </c>
      <c r="F42" s="21">
        <f>-(B42*Panel!$B$22+0.1*Panel!$B$22*MIN(C42,SUM(B42:B42)))</f>
        <v/>
      </c>
      <c r="G42" s="21">
        <f>B42*Panel!$B$14*Panel!$B$15</f>
        <v/>
      </c>
      <c r="H42" s="21">
        <f>E42+F42+G42-Panel!$B$12</f>
        <v/>
      </c>
      <c r="I42" s="21">
        <f>I41+H42</f>
        <v/>
      </c>
    </row>
    <row r="43">
      <c r="A43" s="24" t="n">
        <v>32</v>
      </c>
      <c r="B43" s="24">
        <f>Panel!$B$13</f>
        <v/>
      </c>
      <c r="C43" s="22">
        <f>C42*(1-Panel!$B$10)+B43</f>
        <v/>
      </c>
      <c r="D43" s="21">
        <f>C43*Panel!$B$22</f>
        <v/>
      </c>
      <c r="E43" s="21">
        <f>C43*Panel!$B$23</f>
        <v/>
      </c>
      <c r="F43" s="21">
        <f>-(B43*Panel!$B$22+0.1*Panel!$B$22*MIN(C43,SUM(B43:B43)))</f>
        <v/>
      </c>
      <c r="G43" s="21">
        <f>B43*Panel!$B$14*Panel!$B$15</f>
        <v/>
      </c>
      <c r="H43" s="21">
        <f>E43+F43+G43-Panel!$B$12</f>
        <v/>
      </c>
      <c r="I43" s="21">
        <f>I42+H43</f>
        <v/>
      </c>
    </row>
    <row r="44">
      <c r="A44" s="24" t="n">
        <v>33</v>
      </c>
      <c r="B44" s="24">
        <f>Panel!$B$13</f>
        <v/>
      </c>
      <c r="C44" s="22">
        <f>C43*(1-Panel!$B$10)+B44</f>
        <v/>
      </c>
      <c r="D44" s="21">
        <f>C44*Panel!$B$22</f>
        <v/>
      </c>
      <c r="E44" s="21">
        <f>C44*Panel!$B$23</f>
        <v/>
      </c>
      <c r="F44" s="21">
        <f>-(B44*Panel!$B$22+0.1*Panel!$B$22*MIN(C44,SUM(B44:B44)))</f>
        <v/>
      </c>
      <c r="G44" s="21">
        <f>B44*Panel!$B$14*Panel!$B$15</f>
        <v/>
      </c>
      <c r="H44" s="21">
        <f>E44+F44+G44-Panel!$B$12</f>
        <v/>
      </c>
      <c r="I44" s="21">
        <f>I43+H44</f>
        <v/>
      </c>
    </row>
    <row r="45">
      <c r="A45" s="24" t="n">
        <v>34</v>
      </c>
      <c r="B45" s="24">
        <f>Panel!$B$13</f>
        <v/>
      </c>
      <c r="C45" s="22">
        <f>C44*(1-Panel!$B$10)+B45</f>
        <v/>
      </c>
      <c r="D45" s="21">
        <f>C45*Panel!$B$22</f>
        <v/>
      </c>
      <c r="E45" s="21">
        <f>C45*Panel!$B$23</f>
        <v/>
      </c>
      <c r="F45" s="21">
        <f>-(B45*Panel!$B$22+0.1*Panel!$B$22*MIN(C45,SUM(B45:B45)))</f>
        <v/>
      </c>
      <c r="G45" s="21">
        <f>B45*Panel!$B$14*Panel!$B$15</f>
        <v/>
      </c>
      <c r="H45" s="21">
        <f>E45+F45+G45-Panel!$B$12</f>
        <v/>
      </c>
      <c r="I45" s="21">
        <f>I44+H45</f>
        <v/>
      </c>
    </row>
    <row r="46">
      <c r="A46" s="24" t="n">
        <v>35</v>
      </c>
      <c r="B46" s="24">
        <f>Panel!$B$13</f>
        <v/>
      </c>
      <c r="C46" s="22">
        <f>C45*(1-Panel!$B$10)+B46</f>
        <v/>
      </c>
      <c r="D46" s="21">
        <f>C46*Panel!$B$22</f>
        <v/>
      </c>
      <c r="E46" s="21">
        <f>C46*Panel!$B$23</f>
        <v/>
      </c>
      <c r="F46" s="21">
        <f>-(B46*Panel!$B$22+0.1*Panel!$B$22*MIN(C46,SUM(B46:B46)))</f>
        <v/>
      </c>
      <c r="G46" s="21">
        <f>B46*Panel!$B$14*Panel!$B$15</f>
        <v/>
      </c>
      <c r="H46" s="21">
        <f>E46+F46+G46-Panel!$B$12</f>
        <v/>
      </c>
      <c r="I46" s="21">
        <f>I45+H46</f>
        <v/>
      </c>
    </row>
    <row r="47">
      <c r="A47" s="24" t="n">
        <v>36</v>
      </c>
      <c r="B47" s="24">
        <f>Panel!$B$13</f>
        <v/>
      </c>
      <c r="C47" s="22">
        <f>C46*(1-Panel!$B$10)+B47</f>
        <v/>
      </c>
      <c r="D47" s="21">
        <f>C47*Panel!$B$22</f>
        <v/>
      </c>
      <c r="E47" s="21">
        <f>C47*Panel!$B$23</f>
        <v/>
      </c>
      <c r="F47" s="21">
        <f>-(B47*Panel!$B$22+0.1*Panel!$B$22*MIN(C47,SUM(B47:B47)))</f>
        <v/>
      </c>
      <c r="G47" s="21">
        <f>B47*Panel!$B$14*Panel!$B$15</f>
        <v/>
      </c>
      <c r="H47" s="21">
        <f>E47+F47+G47-Panel!$B$12</f>
        <v/>
      </c>
      <c r="I47" s="21">
        <f>I46+H47</f>
        <v/>
      </c>
    </row>
    <row r="49" ht="26" customHeight="1">
      <c r="A49" s="18" t="inlineStr">
        <is>
          <t>La curva supone que las altas del Panel se mantienen constantes y que las bajas se aplican a la cartera existente antes de sumar las nuevas. No incluye IVA, impuestos ni inversiones: mide si el negocio se paga a si mismo.</t>
        </is>
      </c>
    </row>
    <row r="50"/>
  </sheetData>
  <mergeCells count="2">
    <mergeCell ref="A49:H50"/>
    <mergeCell ref="A2:H3"/>
  </mergeCells>
  <conditionalFormatting sqref="H12:I47">
    <cfRule type="cellIs" priority="1" operator="lessThan" dxfId="2">
      <formula>0</formula>
    </cfRule>
    <cfRule type="cellIs" priority="2" operator="greaterThanOrEqual" dxfId="3">
      <formula>0</formula>
    </cfRule>
  </conditionalFormatting>
  <pageMargins left="0.75" right="0.75" top="1" bottom="1" header="0.5" footer="0.5"/>
</worksheet>
</file>

<file path=xl/worksheets/sheet7.xml><?xml version="1.0" encoding="utf-8"?>
<worksheet xmlns="http://schemas.openxmlformats.org/spreadsheetml/2006/main">
  <sheetPr>
    <tabColor rgb="FF2E8B74"/>
    <outlinePr summaryBelow="1" summaryRight="1"/>
    <pageSetUpPr/>
  </sheetPr>
  <dimension ref="A1:H18"/>
  <sheetViews>
    <sheetView showGridLines="0" workbookViewId="0">
      <selection activeCell="A1" sqref="A1"/>
    </sheetView>
  </sheetViews>
  <sheetFormatPr baseColWidth="8" defaultRowHeight="15"/>
  <cols>
    <col width="38" customWidth="1" min="1" max="1"/>
    <col width="16" customWidth="1" min="2" max="2"/>
    <col width="22" customWidth="1" min="3" max="3"/>
    <col width="66" customWidth="1" min="4" max="4"/>
  </cols>
  <sheetData>
    <row r="1">
      <c r="A1" s="1" t="inlineStr">
        <is>
          <t>De donde sale cada numero y que falta por medir</t>
        </is>
      </c>
    </row>
    <row r="2" ht="30" customHeight="1">
      <c r="A2" s="2" t="inlineStr">
        <is>
          <t>Un modelo economico sin trazabilidad es una opinion con decimales. Aqui esta el origen de cada cifra y, sobre todo, lo que todavia no es un dato.</t>
        </is>
      </c>
    </row>
    <row r="3"/>
    <row r="5" ht="28" customHeight="1">
      <c r="A5" s="4" t="inlineStr">
        <is>
          <t>Cifra</t>
        </is>
      </c>
      <c r="B5" s="4" t="inlineStr">
        <is>
          <t>Valor</t>
        </is>
      </c>
      <c r="C5" s="4" t="inlineStr">
        <is>
          <t>Estado</t>
        </is>
      </c>
      <c r="D5" s="4" t="inlineStr">
        <is>
          <t>Origen</t>
        </is>
      </c>
    </row>
    <row r="6" ht="30" customHeight="1">
      <c r="A6" s="5" t="inlineStr">
        <is>
          <t>Precios 29 / 49 / 99 EUR</t>
        </is>
      </c>
      <c r="B6" s="5" t="inlineStr">
        <is>
          <t>Adoptado</t>
        </is>
      </c>
      <c r="C6" s="5" t="inlineStr">
        <is>
          <t>Decidido</t>
        </is>
      </c>
      <c r="D6" s="26" t="inlineStr">
        <is>
          <t>Decisiones: «Precio adoptado, prueba completa y despues modo consulta» (15/07/2026). Coincide con el catalogo del codigo.</t>
        </is>
      </c>
    </row>
    <row r="7" ht="30" customHeight="1">
      <c r="A7" s="5" t="inlineStr">
        <is>
          <t>Coste de software por plan</t>
        </is>
      </c>
      <c r="B7" s="5" t="inlineStr">
        <is>
          <t>1,48 / 3,04 / 18,47</t>
        </is>
      </c>
      <c r="C7" s="5" t="inlineStr">
        <is>
          <t>Calculado</t>
        </is>
      </c>
      <c r="D7" s="26" t="inlineStr">
        <is>
          <t>Unit-economics-y-cerebro-interno.md (15/07/2026): Stripe, WhatsApp, IA, transcripcion, extraccion, almacenamiento y voz.</t>
        </is>
      </c>
    </row>
    <row r="8" ht="30" customHeight="1">
      <c r="A8" s="5" t="inlineStr">
        <is>
          <t>Contribucion por plan</t>
        </is>
      </c>
      <c r="B8" s="5" t="inlineStr">
        <is>
          <t>20,83 / 34,89 / 56,96</t>
        </is>
      </c>
      <c r="C8" s="5" t="inlineStr">
        <is>
          <t>Calculado</t>
        </is>
      </c>
      <c r="D8" s="26" t="inlineStr">
        <is>
          <t>Mismo analisis. Ya descuenta soporte, onboarding y fijo por cuenta.</t>
        </is>
      </c>
    </row>
    <row r="9" ht="30" customHeight="1">
      <c r="A9" s="27" t="inlineStr">
        <is>
          <t>Mezcla 55 / 35 / 10</t>
        </is>
      </c>
      <c r="B9" s="27" t="inlineStr">
        <is>
          <t>Supuesto</t>
        </is>
      </c>
      <c r="C9" s="27" t="inlineStr">
        <is>
          <t>SIN MEDIR</t>
        </is>
      </c>
      <c r="D9" s="28" t="inlineStr">
        <is>
          <t>Reparto de planes asumido. Cambiara con el piloto.</t>
        </is>
      </c>
    </row>
    <row r="10" ht="30" customHeight="1">
      <c r="A10" s="27" t="inlineStr">
        <is>
          <t>Bajas mensuales</t>
        </is>
      </c>
      <c r="B10" s="27" t="inlineStr">
        <is>
          <t>4 %</t>
        </is>
      </c>
      <c r="C10" s="27" t="inlineStr">
        <is>
          <t>SIN MEDIR</t>
        </is>
      </c>
      <c r="D10" s="28" t="inlineStr">
        <is>
          <t>No hay clientes de pago. Cualquier LTV calculado sobre esto es una hipotesis, no una promesa.</t>
        </is>
      </c>
    </row>
    <row r="11" ht="30" customHeight="1">
      <c r="A11" s="27" t="inlineStr">
        <is>
          <t>CAC 150 EUR</t>
        </is>
      </c>
      <c r="B11" s="27" t="inlineStr">
        <is>
          <t>Supuesto</t>
        </is>
      </c>
      <c r="C11" s="27" t="inlineStr">
        <is>
          <t>SIN MEDIR</t>
        </is>
      </c>
      <c r="D11" s="28" t="inlineStr">
        <is>
          <t>Figuraba en el modelo editable anterior; no hay campanas medidas.</t>
        </is>
      </c>
    </row>
    <row r="12" ht="30" customHeight="1">
      <c r="A12" s="5" t="inlineStr">
        <is>
          <t>Opex 3.500 EUR</t>
        </is>
      </c>
      <c r="B12" s="5" t="inlineStr">
        <is>
          <t>Constante</t>
        </is>
      </c>
      <c r="C12" s="5" t="inlineStr">
        <is>
          <t>Supuesto</t>
        </is>
      </c>
      <c r="D12" s="26" t="inlineStr">
        <is>
          <t>Analisis del 15/07/2026. Asume que vende el founder.</t>
        </is>
      </c>
    </row>
    <row r="13" ht="30" customHeight="1">
      <c r="A13" s="5" t="inlineStr">
        <is>
          <t>Estructuras de comision</t>
        </is>
      </c>
      <c r="B13" s="5" t="inlineStr">
        <is>
          <t>A a E</t>
        </is>
      </c>
      <c r="C13" s="5" t="inlineStr">
        <is>
          <t>Propuesta</t>
        </is>
      </c>
      <c r="D13" s="26" t="inlineStr">
        <is>
          <t>Canal-comercial-y-comisiones.md (16/09/2026). Nada aprobado: el founder reserva descuento, porcentaje, duracion y devoluciones.</t>
        </is>
      </c>
    </row>
    <row r="14" ht="30" customHeight="1">
      <c r="A14" s="5" t="inlineStr">
        <is>
          <t>Cuota de implantacion 99 EUR</t>
        </is>
      </c>
      <c r="B14" s="5" t="inlineStr">
        <is>
          <t>Propuesta</t>
        </is>
      </c>
      <c r="C14" s="5" t="inlineStr">
        <is>
          <t>Sin aprobar</t>
        </is>
      </c>
      <c r="D14" s="26" t="inlineStr">
        <is>
          <t>Misma fuente. Perdonada en contratacion anual.</t>
        </is>
      </c>
    </row>
    <row r="15" ht="30" customHeight="1">
      <c r="A15" s="5" t="inlineStr">
        <is>
          <t>Coste cargado de comercial</t>
        </is>
      </c>
      <c r="B15" s="5" t="inlineStr">
        <is>
          <t>2.400 EUR</t>
        </is>
      </c>
      <c r="C15" s="5" t="inlineStr">
        <is>
          <t>Supuesto</t>
        </is>
      </c>
      <c r="D15" s="26" t="inlineStr">
        <is>
          <t>Sueldo mas seguridad social y estructura.</t>
        </is>
      </c>
    </row>
    <row r="17" ht="26" customHeight="1">
      <c r="A17" s="18" t="inlineStr">
        <is>
          <t>Antes de firmar con nadie: tres a cinco clientes de pago y treinta dias midiendo bajas, soporte por cuenta y coste real de captacion. Con eso, este libro deja de ser un escenario y pasa a ser un modelo.</t>
        </is>
      </c>
    </row>
    <row r="18"/>
  </sheetData>
  <mergeCells count="2">
    <mergeCell ref="A17:H18"/>
    <mergeCell ref="A2: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2026-09-17T09:17:24Z</dcterms:created>
  <dcterms:modified xmlns:dcterms="http://purl.org/dc/terms/" xmlns:xsi="http://www.w3.org/2001/XMLSchema-instance" xsi:type="dcterms:W3CDTF">2026-09-17T09:17:24Z</dcterms:modified>
</cp:coreProperties>
</file>