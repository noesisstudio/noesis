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Horas_del_founder" sheetId="2" state="visible" r:id="rId2"/>
    <sheet xmlns:r="http://schemas.openxmlformats.org/officeDocument/2006/relationships" name="Rampa_36m" sheetId="3" state="visible" r:id="rId3"/>
    <sheet xmlns:r="http://schemas.openxmlformats.org/officeDocument/2006/relationships" name="Escenarios" sheetId="4" state="visible" r:id="rId4"/>
    <sheet xmlns:r="http://schemas.openxmlformats.org/officeDocument/2006/relationships" name="Que_es_dato_y_que_no" sheetId="5" state="visible" r:id="rId5"/>
  </sheets>
  <definedNames/>
  <calcPr calcId="124519" fullCalcOnLoad="1"/>
</workbook>
</file>

<file path=xl/styles.xml><?xml version="1.0" encoding="utf-8"?>
<styleSheet xmlns="http://schemas.openxmlformats.org/spreadsheetml/2006/main">
  <numFmts count="4">
    <numFmt numFmtId="164" formatCode="#,##0\ &quot;€&quot;"/>
    <numFmt numFmtId="165" formatCode="#,##0.00\ &quot;€&quot;"/>
    <numFmt numFmtId="166" formatCode="0.0%"/>
    <numFmt numFmtId="167" formatCode="#,##0.0"/>
  </numFmts>
  <fonts count="12">
    <font>
      <name val="Calibri"/>
      <family val="2"/>
      <color theme="1"/>
      <sz val="11"/>
      <scheme val="minor"/>
    </font>
    <font>
      <name val="Aptos"/>
      <b val="1"/>
      <color rgb="FF14463B"/>
      <sz val="16"/>
    </font>
    <font>
      <name val="Aptos"/>
      <color rgb="FF5D6B66"/>
      <sz val="10"/>
    </font>
    <font>
      <name val="Aptos"/>
      <b val="1"/>
      <color rgb="FF14463B"/>
      <sz val="12"/>
    </font>
    <font>
      <name val="Aptos"/>
      <b val="1"/>
      <color rgb="FFFFFFFF"/>
      <sz val="10"/>
    </font>
    <font>
      <name val="Aptos"/>
      <color rgb="FF15211C"/>
      <sz val="10"/>
    </font>
    <font>
      <name val="Aptos"/>
      <color rgb="FF0000CC"/>
      <sz val="10"/>
    </font>
    <font>
      <name val="Aptos"/>
      <b val="1"/>
      <color rgb="FF15211C"/>
      <sz val="10"/>
    </font>
    <font>
      <name val="Aptos"/>
      <color rgb="FFB7831F"/>
      <sz val="9"/>
    </font>
    <font>
      <name val="Aptos"/>
      <color rgb="FF5D6B66"/>
      <sz val="9"/>
    </font>
    <font>
      <name val="Aptos"/>
      <color rgb="FFC0533F"/>
      <sz val="10"/>
    </font>
    <font>
      <name val="Aptos"/>
      <color rgb="FFB7831F"/>
      <sz val="10"/>
    </font>
  </fonts>
  <fills count="4">
    <fill>
      <patternFill/>
    </fill>
    <fill>
      <patternFill patternType="gray125"/>
    </fill>
    <fill>
      <patternFill patternType="solid">
        <fgColor rgb="FF14463B"/>
      </patternFill>
    </fill>
    <fill>
      <patternFill patternType="solid">
        <fgColor rgb="FFF4F1EA"/>
      </patternFill>
    </fill>
  </fills>
  <borders count="6">
    <border>
      <left/>
      <right/>
      <top/>
      <bottom/>
      <diagonal/>
    </border>
    <border>
      <left style="thin">
        <color rgb="FFDDD8CC"/>
      </left>
      <right style="thin">
        <color rgb="FFDDD8CC"/>
      </right>
      <top style="thin">
        <color rgb="FFDDD8CC"/>
      </top>
      <bottom style="thin">
        <color rgb="FFDDD8CC"/>
      </bottom>
    </border>
    <border>
      <left/>
      <right/>
      <top style="thin">
        <color rgb="FFDDD8CC"/>
      </top>
      <bottom/>
      <diagonal/>
    </border>
    <border>
      <left/>
      <right style="thin">
        <color rgb="FFDDD8CC"/>
      </right>
      <top style="thin">
        <color rgb="FFDDD8CC"/>
      </top>
      <bottom/>
      <diagonal/>
    </border>
    <border>
      <left/>
      <right/>
      <top style="thin">
        <color rgb="FFDDD8CC"/>
      </top>
      <bottom style="thin">
        <color rgb="FFDDD8CC"/>
      </bottom>
      <diagonal/>
    </border>
    <border>
      <left/>
      <right style="thin">
        <color rgb="FFDDD8CC"/>
      </right>
      <top style="thin">
        <color rgb="FFDDD8CC"/>
      </top>
      <bottom style="thin">
        <color rgb="FFDDD8CC"/>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wrapText="1"/>
    </xf>
    <xf numFmtId="0" fontId="5" fillId="0" borderId="1" pivotButton="0" quotePrefix="0" xfId="0"/>
    <xf numFmtId="164" fontId="6" fillId="0" borderId="1" pivotButton="0" quotePrefix="0" xfId="0"/>
    <xf numFmtId="165" fontId="5" fillId="0" borderId="1" pivotButton="0" quotePrefix="0" xfId="0"/>
    <xf numFmtId="9" fontId="5" fillId="0" borderId="1" pivotButton="0" quotePrefix="0" xfId="0"/>
    <xf numFmtId="0" fontId="7" fillId="0" borderId="1" pivotButton="0" quotePrefix="0" xfId="0"/>
    <xf numFmtId="165" fontId="7" fillId="0" borderId="1" pivotButton="0" quotePrefix="0" xfId="0"/>
    <xf numFmtId="9" fontId="7" fillId="0" borderId="1" pivotButton="0" quotePrefix="0" xfId="0"/>
    <xf numFmtId="166" fontId="6" fillId="0" borderId="1" pivotButton="0" quotePrefix="0" xfId="0"/>
    <xf numFmtId="3" fontId="6" fillId="0" borderId="1" pivotButton="0" quotePrefix="0" xfId="0"/>
    <xf numFmtId="9" fontId="6" fillId="0" borderId="1" pivotButton="0" quotePrefix="0" xfId="0"/>
    <xf numFmtId="167" fontId="6" fillId="0" borderId="1" pivotButton="0" quotePrefix="0" xfId="0"/>
    <xf numFmtId="164" fontId="7" fillId="0" borderId="1" pivotButton="0" quotePrefix="0" xfId="0"/>
    <xf numFmtId="3" fontId="7" fillId="0" borderId="1" pivotButton="0" quotePrefix="0" xfId="0"/>
    <xf numFmtId="0" fontId="8" fillId="0" borderId="0" applyAlignment="1" pivotButton="0" quotePrefix="0" xfId="0">
      <alignment vertical="top" wrapText="1"/>
    </xf>
    <xf numFmtId="167" fontId="5" fillId="0" borderId="1" pivotButton="0" quotePrefix="0" xfId="0"/>
    <xf numFmtId="3" fontId="5" fillId="0" borderId="1" pivotButton="0" quotePrefix="0" xfId="0"/>
    <xf numFmtId="166" fontId="5" fillId="0" borderId="1" pivotButton="0" quotePrefix="0" xfId="0"/>
    <xf numFmtId="3" fontId="5" fillId="3" borderId="1" pivotButton="0" quotePrefix="0" xfId="0"/>
    <xf numFmtId="167" fontId="5" fillId="3" borderId="1" pivotButton="0" quotePrefix="0" xfId="0"/>
    <xf numFmtId="166" fontId="5" fillId="3" borderId="1" pivotButton="0" quotePrefix="0" xfId="0"/>
    <xf numFmtId="0" fontId="5" fillId="3" borderId="1" pivotButton="0" quotePrefix="0" xfId="0"/>
    <xf numFmtId="0" fontId="9" fillId="0" borderId="0" applyAlignment="1" pivotButton="0" quotePrefix="0" xfId="0">
      <alignment vertical="top" wrapText="1"/>
    </xf>
    <xf numFmtId="0" fontId="9" fillId="0" borderId="0" pivotButton="0" quotePrefix="0" xfId="0"/>
    <xf numFmtId="167" fontId="9" fillId="0" borderId="0" pivotButton="0" quotePrefix="0" xfId="0"/>
    <xf numFmtId="164" fontId="5" fillId="0" borderId="1" pivotButton="0" quotePrefix="0" xfId="0"/>
    <xf numFmtId="164" fontId="5" fillId="3" borderId="1" pivotButton="0" quotePrefix="0" xfId="0"/>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10" fillId="0" borderId="1" pivotButton="0" quotePrefix="0" xfId="0"/>
    <xf numFmtId="0" fontId="10" fillId="0" borderId="1" applyAlignment="1" pivotButton="0" quotePrefix="0" xfId="0">
      <alignment vertical="top" wrapText="1"/>
    </xf>
    <xf numFmtId="0" fontId="11" fillId="0" borderId="1" pivotButton="0" quotePrefix="0" xfId="0"/>
    <xf numFmtId="0" fontId="11" fillId="0" borderId="1" applyAlignment="1" pivotButton="0" quotePrefix="0" xfId="0">
      <alignment vertical="top" wrapText="1"/>
    </xf>
  </cellXfs>
  <cellStyles count="1">
    <cellStyle name="Normal" xfId="0" builtinId="0" hidden="0"/>
  </cellStyles>
  <dxfs count="4">
    <dxf>
      <font>
        <name val="Aptos"/>
        <b val="1"/>
        <color rgb="FFC0533F"/>
        <sz val="10"/>
      </font>
    </dxf>
    <dxf>
      <font>
        <name val="Aptos"/>
        <b val="1"/>
        <color rgb="FF1F8A6D"/>
        <sz val="10"/>
      </font>
    </dxf>
    <dxf>
      <font>
        <name val="Aptos"/>
        <color rgb="FF1F8A6D"/>
        <sz val="10"/>
      </font>
    </dxf>
    <dxf>
      <font>
        <name val="Aptos"/>
        <color rgb="FFC0533F"/>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4463B"/>
    <outlinePr summaryBelow="1" summaryRight="1"/>
    <pageSetUpPr/>
  </sheetPr>
  <dimension ref="A1:I56"/>
  <sheetViews>
    <sheetView showGridLines="0" workbookViewId="0">
      <selection activeCell="A1" sqref="A1"/>
    </sheetView>
  </sheetViews>
  <sheetFormatPr baseColWidth="8" defaultRowHeight="15"/>
  <cols>
    <col width="44" customWidth="1" min="1" max="1"/>
    <col width="15" customWidth="1" min="2" max="2"/>
    <col width="13" customWidth="1" min="3" max="3"/>
    <col width="13" customWidth="1" min="4" max="4"/>
    <col width="11" customWidth="1" min="5" max="5"/>
    <col width="56" customWidth="1" min="6" max="6"/>
  </cols>
  <sheetData>
    <row r="1">
      <c r="A1" s="1" t="inlineStr">
        <is>
          <t>Bynoesis · modelo economico v3 (realista)</t>
        </is>
      </c>
    </row>
    <row r="2" ht="42" customHeight="1">
      <c r="A2" s="2" t="inlineStr">
        <is>
          <t>Azul = lo editas tu. Negro = formula. Este libro no pregunta «cuanto ganaria con 500 clientes»: pregunta «cuantos puedo atender yo solo, cuando dejo de perder dinero y cuanta caja necesito hasta entonces». Con cero clientes de pago hoy, todo lo de aqui es un escenario; la ultima hoja dice que cifra es un dato y cual no.</t>
        </is>
      </c>
    </row>
    <row r="3"/>
    <row r="4"/>
    <row r="6">
      <c r="A6" s="3" t="inlineStr">
        <is>
          <t>1 · Precios y mezcla</t>
        </is>
      </c>
    </row>
    <row r="7" ht="30" customHeight="1">
      <c r="A7" s="4" t="inlineStr">
        <is>
          <t>Plan</t>
        </is>
      </c>
      <c r="B7" s="4" t="inlineStr">
        <is>
          <t>Precio</t>
        </is>
      </c>
      <c r="C7" s="4" t="inlineStr">
        <is>
          <t>Coste software</t>
        </is>
      </c>
      <c r="D7" s="4" t="inlineStr">
        <is>
          <t>Mezcla</t>
        </is>
      </c>
      <c r="E7" s="4" t="inlineStr"/>
      <c r="F7" s="4" t="inlineStr">
        <is>
          <t>De donde sale</t>
        </is>
      </c>
    </row>
    <row r="8">
      <c r="A8" s="5" t="inlineStr">
        <is>
          <t>Autonomo</t>
        </is>
      </c>
      <c r="B8" s="6" t="n">
        <v>29</v>
      </c>
      <c r="C8" s="7" t="n">
        <v>1.48</v>
      </c>
      <c r="D8" s="8" t="n">
        <v>0.55</v>
      </c>
      <c r="E8" s="5" t="n"/>
      <c r="F8" s="5" t="inlineStr">
        <is>
          <t>Precio adoptado el 15/07/2026. El coste es Stripe, WhatsApp, IA, voz y almacenamiento.</t>
        </is>
      </c>
    </row>
    <row r="9">
      <c r="A9" s="5" t="inlineStr">
        <is>
          <t>Negocio</t>
        </is>
      </c>
      <c r="B9" s="6" t="n">
        <v>49</v>
      </c>
      <c r="C9" s="7" t="n">
        <v>3.04</v>
      </c>
      <c r="D9" s="8" t="n">
        <v>0.35</v>
      </c>
      <c r="E9" s="5" t="n"/>
      <c r="F9" s="5" t="inlineStr">
        <is>
          <t>Precio adoptado el 15/07/2026. El coste es Stripe, WhatsApp, IA, voz y almacenamiento.</t>
        </is>
      </c>
    </row>
    <row r="10">
      <c r="A10" s="5" t="inlineStr">
        <is>
          <t>Premium</t>
        </is>
      </c>
      <c r="B10" s="6" t="n">
        <v>99</v>
      </c>
      <c r="C10" s="7" t="n">
        <v>18.47</v>
      </c>
      <c r="D10" s="8" t="n">
        <v>0.1</v>
      </c>
      <c r="E10" s="5" t="n"/>
      <c r="F10" s="5" t="inlineStr">
        <is>
          <t>Precio adoptado el 15/07/2026. El coste es Stripe, WhatsApp, IA, voz y almacenamiento.</t>
        </is>
      </c>
    </row>
    <row r="11">
      <c r="A11" s="9" t="inlineStr">
        <is>
          <t>Media ponderada</t>
        </is>
      </c>
      <c r="B11" s="10">
        <f>SUMPRODUCT(B8:B10,D8:D10)</f>
        <v/>
      </c>
      <c r="C11" s="10">
        <f>SUMPRODUCT(C8:C10,D8:D10)</f>
        <v/>
      </c>
      <c r="D11" s="11">
        <f>SUM(D8:D10)</f>
        <v/>
      </c>
      <c r="E11" s="9" t="n"/>
      <c r="F11" s="9" t="inlineStr">
        <is>
          <t>La mezcla debe sumar 100 %.</t>
        </is>
      </c>
    </row>
    <row r="13">
      <c r="A13" s="3" t="inlineStr">
        <is>
          <t>2 · Como se comporta un cliente</t>
        </is>
      </c>
    </row>
    <row r="14" ht="30" customHeight="1">
      <c r="A14" s="4" t="inlineStr">
        <is>
          <t>Palanca</t>
        </is>
      </c>
      <c r="B14" s="4" t="inlineStr">
        <is>
          <t>Valor</t>
        </is>
      </c>
      <c r="C14" s="4" t="inlineStr"/>
      <c r="D14" s="4" t="inlineStr"/>
      <c r="E14" s="4" t="inlineStr"/>
      <c r="F14" s="4" t="inlineStr">
        <is>
          <t>Por que importa</t>
        </is>
      </c>
    </row>
    <row r="15">
      <c r="A15" s="5" t="inlineStr">
        <is>
          <t>Bajas los tres primeros meses</t>
        </is>
      </c>
      <c r="B15" s="12" t="n">
        <v>0.08</v>
      </c>
      <c r="C15" s="5" t="n"/>
      <c r="D15" s="5" t="n"/>
      <c r="E15" s="5" t="n"/>
      <c r="F15" s="5" t="inlineStr">
        <is>
          <t>SUPUESTO. Una cartera nueva pierde mas al principio: el que no llega a usarlo se va pronto. El modelo anterior suponia cero bajas.</t>
        </is>
      </c>
    </row>
    <row r="16">
      <c r="A16" s="5" t="inlineStr">
        <is>
          <t>Bajas a partir del cuarto mes</t>
        </is>
      </c>
      <c r="B16" s="12" t="n">
        <v>0.04</v>
      </c>
      <c r="C16" s="5" t="n"/>
      <c r="D16" s="5" t="n"/>
      <c r="E16" s="5" t="n"/>
      <c r="F16" s="5" t="inlineStr">
        <is>
          <t>SUPUESTO. Quien pasa de los tres meses suele quedarse.</t>
        </is>
      </c>
    </row>
    <row r="17">
      <c r="A17" s="5" t="inlineStr">
        <is>
          <t>Dias de prueba gratis</t>
        </is>
      </c>
      <c r="B17" s="13" t="n">
        <v>14</v>
      </c>
      <c r="C17" s="5" t="n"/>
      <c r="D17" s="5" t="n"/>
      <c r="E17" s="5" t="n"/>
      <c r="F17" s="5" t="inlineStr">
        <is>
          <t>El primer mes de cada alta no se cobra entero.</t>
        </is>
      </c>
    </row>
    <row r="18">
      <c r="A18" s="5" t="inlineStr">
        <is>
          <t>Recibos que no se cobran</t>
        </is>
      </c>
      <c r="B18" s="12" t="n">
        <v>0.03</v>
      </c>
      <c r="C18" s="5" t="n"/>
      <c r="D18" s="5" t="n"/>
      <c r="E18" s="5" t="n"/>
      <c r="F18" s="5" t="inlineStr">
        <is>
          <t>SUPUESTO. Tarjetas caducadas y devoluciones.</t>
        </is>
      </c>
    </row>
    <row r="19">
      <c r="A19" s="5" t="inlineStr">
        <is>
          <t>Contratan plan anual</t>
        </is>
      </c>
      <c r="B19" s="14" t="n">
        <v>0.2</v>
      </c>
      <c r="C19" s="5" t="n"/>
      <c r="D19" s="5" t="n"/>
      <c r="E19" s="5" t="n"/>
      <c r="F19" s="5" t="inlineStr">
        <is>
          <t>SUPUESTO. El anual adelanta once meses de caja.</t>
        </is>
      </c>
    </row>
    <row r="21">
      <c r="A21" s="3" t="inlineStr">
        <is>
          <t>3 · Tu tiempo, que es el limite de verdad</t>
        </is>
      </c>
    </row>
    <row r="22" ht="30" customHeight="1">
      <c r="A22" s="4" t="inlineStr">
        <is>
          <t>Palanca</t>
        </is>
      </c>
      <c r="B22" s="4" t="inlineStr">
        <is>
          <t>Valor</t>
        </is>
      </c>
      <c r="C22" s="4" t="inlineStr"/>
      <c r="D22" s="4" t="inlineStr"/>
      <c r="E22" s="4" t="inlineStr"/>
      <c r="F22" s="4" t="inlineStr">
        <is>
          <t>Por que importa</t>
        </is>
      </c>
    </row>
    <row r="23">
      <c r="A23" s="5" t="inlineStr">
        <is>
          <t>Horas al mes para vender y atender</t>
        </is>
      </c>
      <c r="B23" s="13" t="n">
        <v>60</v>
      </c>
      <c r="C23" s="5" t="n"/>
      <c r="D23" s="5" t="n"/>
      <c r="E23" s="5" t="n"/>
      <c r="F23" s="5" t="inlineStr">
        <is>
          <t>Las que te quedan despues de construir producto. Es la palanca que decide todo lo demas.</t>
        </is>
      </c>
    </row>
    <row r="24">
      <c r="A24" s="5" t="inlineStr">
        <is>
          <t>Horas por alta (venta y puesta en marcha)</t>
        </is>
      </c>
      <c r="B24" s="15" t="n">
        <v>3</v>
      </c>
      <c r="C24" s="5" t="n"/>
      <c r="D24" s="5" t="n"/>
      <c r="E24" s="5" t="n"/>
      <c r="F24" s="5" t="inlineStr">
        <is>
          <t>Demo, alta, primera factura y acompanamiento. El analisis cifra el onboarding en 30-120 minutos; vender ocupa mas que eso.</t>
        </is>
      </c>
    </row>
    <row r="25">
      <c r="A25" s="5" t="inlineStr">
        <is>
          <t>Minutos de soporte, cuenta nueva</t>
        </is>
      </c>
      <c r="B25" s="13" t="n">
        <v>30</v>
      </c>
      <c r="C25" s="5" t="n"/>
      <c r="D25" s="5" t="n"/>
      <c r="E25" s="5" t="n"/>
      <c r="F25" s="5" t="inlineStr">
        <is>
          <t>Los tres primeros meses preguntan mucho mas.</t>
        </is>
      </c>
    </row>
    <row r="26">
      <c r="A26" s="5" t="inlineStr">
        <is>
          <t>Minutos de soporte, cuenta asentada</t>
        </is>
      </c>
      <c r="B26" s="13" t="n">
        <v>12</v>
      </c>
      <c r="C26" s="5" t="n"/>
      <c r="D26" s="5" t="n"/>
      <c r="E26" s="5" t="n"/>
      <c r="F26" s="5" t="inlineStr">
        <is>
          <t>Del analisis del 15/07/2026 para el plan Autonomo.</t>
        </is>
      </c>
    </row>
    <row r="27">
      <c r="A27" s="5" t="inlineStr">
        <is>
          <t>Altas que te gustaria hacer al mes</t>
        </is>
      </c>
      <c r="B27" s="13" t="n">
        <v>5</v>
      </c>
      <c r="C27" s="5" t="n"/>
      <c r="D27" s="5" t="n"/>
      <c r="E27" s="5" t="n"/>
      <c r="F27" s="5" t="inlineStr">
        <is>
          <t>Tu objetivo comercial. El modelo solo lo cumple si te quedan horas.</t>
        </is>
      </c>
    </row>
    <row r="28">
      <c r="A28" s="5" t="inlineStr">
        <is>
          <t>Crecimiento mensual de ese objetivo</t>
        </is>
      </c>
      <c r="B28" s="12" t="n">
        <v>0.05</v>
      </c>
      <c r="C28" s="5" t="n"/>
      <c r="D28" s="5" t="n"/>
      <c r="E28" s="5" t="n"/>
      <c r="F28" s="5" t="inlineStr">
        <is>
          <t>Boca a boca y prescriptores. Sin ads, es lento.</t>
        </is>
      </c>
    </row>
    <row r="30">
      <c r="A30" s="3" t="inlineStr">
        <is>
          <t>4 · Lo que sale de tu bolsillo cada mes</t>
        </is>
      </c>
    </row>
    <row r="31" ht="30" customHeight="1">
      <c r="A31" s="4" t="inlineStr">
        <is>
          <t>Partida</t>
        </is>
      </c>
      <c r="B31" s="4" t="inlineStr">
        <is>
          <t>Valor</t>
        </is>
      </c>
      <c r="C31" s="4" t="inlineStr"/>
      <c r="D31" s="4" t="inlineStr"/>
      <c r="E31" s="4" t="inlineStr"/>
      <c r="F31" s="4" t="inlineStr">
        <is>
          <t>Nota</t>
        </is>
      </c>
    </row>
    <row r="32">
      <c r="A32" s="5" t="inlineStr">
        <is>
          <t>Servidores y dominio</t>
        </is>
      </c>
      <c r="B32" s="6" t="n">
        <v>30</v>
      </c>
      <c r="C32" s="5" t="n"/>
      <c r="D32" s="5" t="n"/>
      <c r="E32" s="5" t="n"/>
      <c r="F32" s="5" t="inlineStr">
        <is>
          <t>Railway, dominio y correo. PENDIENTE: la factura real.</t>
        </is>
      </c>
    </row>
    <row r="33">
      <c r="A33" s="5" t="inlineStr">
        <is>
          <t>Herramientas y suscripciones</t>
        </is>
      </c>
      <c r="B33" s="6" t="n">
        <v>40</v>
      </c>
      <c r="C33" s="5" t="n"/>
      <c r="D33" s="5" t="n"/>
      <c r="E33" s="5" t="n"/>
      <c r="F33" s="5" t="inlineStr">
        <is>
          <t>IDE, diseno, analitica, almacenamiento.</t>
        </is>
      </c>
    </row>
    <row r="34">
      <c r="A34" s="5" t="inlineStr">
        <is>
          <t>Gestoria</t>
        </is>
      </c>
      <c r="B34" s="6" t="n">
        <v>60</v>
      </c>
      <c r="C34" s="5" t="n"/>
      <c r="D34" s="5" t="n"/>
      <c r="E34" s="5" t="n"/>
      <c r="F34" s="5" t="inlineStr">
        <is>
          <t>PENDIENTE: presupuesto real.</t>
        </is>
      </c>
    </row>
    <row r="35">
      <c r="A35" s="5" t="inlineStr">
        <is>
          <t>Seguro y otros fijos</t>
        </is>
      </c>
      <c r="B35" s="6" t="n">
        <v>30</v>
      </c>
      <c r="C35" s="5" t="n"/>
      <c r="D35" s="5" t="n"/>
      <c r="E35" s="5" t="n"/>
      <c r="F35" s="5" t="inlineStr">
        <is>
          <t>Responsabilidad civil. PENDIENTE.</t>
        </is>
      </c>
    </row>
    <row r="36">
      <c r="A36" s="5" t="inlineStr">
        <is>
          <t>Presupuesto de captacion</t>
        </is>
      </c>
      <c r="B36" s="6" t="n">
        <v>0</v>
      </c>
      <c r="C36" s="5" t="n"/>
      <c r="D36" s="5" t="n"/>
      <c r="E36" s="5" t="n"/>
      <c r="F36" s="5" t="inlineStr">
        <is>
          <t>Ads. A cero, captas solo con tu tiempo.</t>
        </is>
      </c>
    </row>
    <row r="37">
      <c r="A37" s="5" t="inlineStr">
        <is>
          <t>Cuota de autonomos</t>
        </is>
      </c>
      <c r="B37" s="6" t="n">
        <v>300</v>
      </c>
      <c r="C37" s="5" t="n"/>
      <c r="D37" s="5" t="n"/>
      <c r="E37" s="5" t="n"/>
      <c r="F37" s="5" t="inlineStr">
        <is>
          <t>PENDIENTE: depende de tarifa plana y forma juridica.</t>
        </is>
      </c>
    </row>
    <row r="38">
      <c r="A38" s="5" t="inlineStr">
        <is>
          <t>Lo que quieres cobrar tu al mes</t>
        </is>
      </c>
      <c r="B38" s="6" t="n">
        <v>1200</v>
      </c>
      <c r="C38" s="5" t="n"/>
      <c r="D38" s="5" t="n"/>
      <c r="E38" s="5" t="n"/>
      <c r="F38" s="5" t="inlineStr">
        <is>
          <t>La cifra que convierte esto en un trabajo y no en un hobby.</t>
        </is>
      </c>
    </row>
    <row r="39">
      <c r="A39" s="9" t="inlineStr">
        <is>
          <t>Estructura (sin cuota ni retirada)</t>
        </is>
      </c>
      <c r="B39" s="16">
        <f>SUM($B$32:$B$36)</f>
        <v/>
      </c>
      <c r="C39" s="9" t="n"/>
      <c r="D39" s="9" t="n"/>
      <c r="E39" s="9" t="n"/>
      <c r="F39" s="9" t="inlineStr">
        <is>
          <t>Es el minimo que hay que pagar aunque no cobres nada.</t>
        </is>
      </c>
    </row>
    <row r="40">
      <c r="A40" s="9" t="inlineStr">
        <is>
          <t>Salida total de caja al mes</t>
        </is>
      </c>
      <c r="B40" s="16">
        <f>SUM($B$32:$B$36)+$B$37+$B$38</f>
        <v/>
      </c>
      <c r="C40" s="9" t="n"/>
      <c r="D40" s="9" t="n"/>
      <c r="E40" s="9" t="n"/>
      <c r="F40" s="9" t="inlineStr">
        <is>
          <t>Estructura, cuota y tu retirada.</t>
        </is>
      </c>
    </row>
    <row r="41">
      <c r="A41" s="5" t="inlineStr">
        <is>
          <t>Caja inicial</t>
        </is>
      </c>
      <c r="B41" s="6" t="n">
        <v>4000</v>
      </c>
      <c r="C41" s="5" t="n"/>
      <c r="D41" s="5" t="n"/>
      <c r="E41" s="5" t="n"/>
      <c r="F41" s="5" t="inlineStr">
        <is>
          <t>El vault cita ~4.000 EUR iniciales. PENDIENTE confirmar.</t>
        </is>
      </c>
    </row>
    <row r="43">
      <c r="A43" s="3" t="inlineStr">
        <is>
          <t>5 · Lo que contesta el modelo</t>
        </is>
      </c>
    </row>
    <row r="44" ht="30" customHeight="1">
      <c r="A44" s="4" t="inlineStr">
        <is>
          <t>Pregunta</t>
        </is>
      </c>
      <c r="B44" s="4" t="inlineStr">
        <is>
          <t>Respuesta</t>
        </is>
      </c>
      <c r="C44" s="4" t="inlineStr"/>
      <c r="D44" s="4" t="inlineStr"/>
      <c r="E44" s="4" t="inlineStr"/>
      <c r="F44" s="4" t="inlineStr">
        <is>
          <t>Como se calcula</t>
        </is>
      </c>
    </row>
    <row r="45">
      <c r="A45" s="9" t="inlineStr">
        <is>
          <t>Contribucion por cuenta y mes</t>
        </is>
      </c>
      <c r="B45" s="10">
        <f>($B$11*(1-$B$18))-$C$11</f>
        <v/>
      </c>
      <c r="C45" s="9" t="n"/>
      <c r="D45" s="9" t="n"/>
      <c r="E45" s="9" t="n"/>
      <c r="F45" s="9" t="inlineStr">
        <is>
          <t>Lo que deja una cuenta despues de lo que cuesta servirla en dinero. Tu tiempo no entra aqui: entra como limite de capacidad.</t>
        </is>
      </c>
    </row>
    <row r="46">
      <c r="A46" s="9" t="inlineStr">
        <is>
          <t>Cuentas para cubrir solo la estructura</t>
        </is>
      </c>
      <c r="B46" s="17">
        <f>IF($B$45&lt;=0,"-",ROUNDUP(SUM($B$32:$B$36)/$B$45,0))</f>
        <v/>
      </c>
      <c r="C46" s="9" t="n"/>
      <c r="D46" s="9" t="n"/>
      <c r="E46" s="9" t="n"/>
      <c r="F46" s="9" t="inlineStr">
        <is>
          <t>Servidores, herramientas, gestoria y seguro.</t>
        </is>
      </c>
    </row>
    <row r="47">
      <c r="A47" s="9" t="inlineStr">
        <is>
          <t>Cuentas para cubrir estructura y cuota</t>
        </is>
      </c>
      <c r="B47" s="17">
        <f>IF($B$45&lt;=0,"-",ROUNDUP((SUM($B$32:$B$36)+$B$37)/$B$45,0))</f>
        <v/>
      </c>
      <c r="C47" s="9" t="n"/>
      <c r="D47" s="9" t="n"/>
      <c r="E47" s="9" t="n"/>
      <c r="F47" s="9" t="inlineStr">
        <is>
          <t>El minimo para no poner dinero cada mes.</t>
        </is>
      </c>
    </row>
    <row r="48">
      <c r="A48" s="9" t="inlineStr">
        <is>
          <t>Cuentas para pagarte lo que quieres</t>
        </is>
      </c>
      <c r="B48" s="17">
        <f>IF($B$45&lt;=0,"-",ROUNDUP($B$40/$B$45,0))</f>
        <v/>
      </c>
      <c r="C48" s="9" t="n"/>
      <c r="D48" s="9" t="n"/>
      <c r="E48" s="9" t="n"/>
      <c r="F48" s="9" t="inlineStr">
        <is>
          <t>El equilibrio de verdad: cuando esto te da de comer.</t>
        </is>
      </c>
    </row>
    <row r="49">
      <c r="A49" s="9" t="inlineStr">
        <is>
          <t>Cuentas que puedes atender tu solo</t>
        </is>
      </c>
      <c r="B49" s="17">
        <f>Horas_del_founder!$B$9</f>
        <v/>
      </c>
      <c r="C49" s="9" t="n"/>
      <c r="D49" s="9" t="n"/>
      <c r="E49" s="9" t="n"/>
      <c r="F49" s="9" t="inlineStr">
        <is>
          <t>Donde el soporte se come todas tus horas y no queda ninguna para vender. A partir de ahi, o contratas o dejas de crecer.</t>
        </is>
      </c>
    </row>
    <row r="50">
      <c r="A50" s="9" t="inlineStr">
        <is>
          <t>¿Te da el tiempo para llegar al equilibrio?</t>
        </is>
      </c>
      <c r="B50" s="9">
        <f>IF(N($B$48)=0,"-",IF($B$49&gt;=$B$48,"Si: cabe en tus horas","NO: harian falta mas horas o alguien mas"))</f>
        <v/>
      </c>
      <c r="C50" s="9" t="n"/>
      <c r="D50" s="9" t="n"/>
      <c r="E50" s="9" t="n"/>
      <c r="F50" s="9" t="inlineStr">
        <is>
          <t>Compara el equilibrio con tu capacidad. Es la pregunta que decide si el plan es posible.</t>
        </is>
      </c>
    </row>
    <row r="51">
      <c r="A51" s="9" t="inlineStr">
        <is>
          <t>Mes en que dejas de perder dinero</t>
        </is>
      </c>
      <c r="B51" s="17">
        <f>Rampa_36m!$B$6</f>
        <v/>
      </c>
      <c r="C51" s="9" t="n"/>
      <c r="D51" s="9" t="n"/>
      <c r="E51" s="9" t="n"/>
      <c r="F51" s="9" t="inlineStr">
        <is>
          <t>Primer mes con resultado positivo, ya con tu retirada dentro.</t>
        </is>
      </c>
    </row>
    <row r="52">
      <c r="A52" s="9" t="inlineStr">
        <is>
          <t>Caja minima por el camino</t>
        </is>
      </c>
      <c r="B52" s="16">
        <f>Rampa_36m!$B$7</f>
        <v/>
      </c>
      <c r="C52" s="9" t="n"/>
      <c r="D52" s="9" t="n"/>
      <c r="E52" s="9" t="n"/>
      <c r="F52" s="9" t="inlineStr">
        <is>
          <t>El punto mas bajo: el dinero que tienes que poder aguantar.</t>
        </is>
      </c>
    </row>
    <row r="53">
      <c r="A53" s="9" t="inlineStr">
        <is>
          <t>Cuentas al mes 36</t>
        </is>
      </c>
      <c r="B53" s="17">
        <f>Rampa_36m!$B$8</f>
        <v/>
      </c>
      <c r="C53" s="9" t="n"/>
      <c r="D53" s="9" t="n"/>
      <c r="E53" s="9" t="n"/>
      <c r="F53" s="9" t="inlineStr">
        <is>
          <t>Hasta donde llega la rampa con tus horas.</t>
        </is>
      </c>
    </row>
    <row r="55" ht="28" customHeight="1">
      <c r="A55" s="18" t="inlineStr">
        <is>
          <t>Este libro no incluye IVA: se repercute y se ingresa, asi que no es ni ingreso ni gasto, solo un desfase de caja que la gestoria ordena por trimestres. Tampoco incluye IRPF ni impuesto de sociedades: con resultado negativo no hay base, y cuando la haya la cifra depende de la forma juridica, que esta sin decidir.</t>
        </is>
      </c>
    </row>
    <row r="56"/>
  </sheetData>
  <mergeCells count="2">
    <mergeCell ref="A55:I56"/>
    <mergeCell ref="A2:I4"/>
  </mergeCells>
  <conditionalFormatting sqref="B50">
    <cfRule type="expression" priority="1" dxfId="0">
      <formula>ISNUMBER(SEARCH("NO",$B$50))</formula>
    </cfRule>
    <cfRule type="expression" priority="2" dxfId="1">
      <formula>ISNUMBER(SEARCH("Si:",$B$50))</formula>
    </cfRule>
  </conditionalFormatting>
  <pageMargins left="0.75" right="0.75" top="1" bottom="1" header="0.5" footer="0.5"/>
</worksheet>
</file>

<file path=xl/worksheets/sheet2.xml><?xml version="1.0" encoding="utf-8"?>
<worksheet xmlns="http://schemas.openxmlformats.org/spreadsheetml/2006/main">
  <sheetPr>
    <tabColor rgb="FF2E8B74"/>
    <outlinePr summaryBelow="1" summaryRight="1"/>
    <pageSetUpPr/>
  </sheetPr>
  <dimension ref="A1:I29"/>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48" customWidth="1" min="6" max="6"/>
  </cols>
  <sheetData>
    <row r="1">
      <c r="A1" s="1" t="inlineStr">
        <is>
          <t>Tu tiempo puesto en numeros</t>
        </is>
      </c>
    </row>
    <row r="2" ht="42" customHeight="1">
      <c r="A2" s="2" t="inlineStr">
        <is>
          <t>En un negocio de una persona, el limite no es el mercado: son las horas. Cada cuenta nueva consume tiempo de venta y puesta en marcha una vez, y tiempo de soporte todos los meses. Cuando el soporte se come las horas, no quedan para vender y la cartera deja de crecer sola.</t>
        </is>
      </c>
    </row>
    <row r="3"/>
    <row r="4"/>
    <row r="6" ht="30" customHeight="1">
      <c r="A6" s="4" t="inlineStr">
        <is>
          <t>Concepto</t>
        </is>
      </c>
      <c r="B6" s="4" t="inlineStr">
        <is>
          <t>Valor</t>
        </is>
      </c>
      <c r="C6" s="4" t="inlineStr"/>
      <c r="D6" s="4" t="inlineStr"/>
      <c r="E6" s="4" t="inlineStr"/>
      <c r="F6" s="4" t="inlineStr">
        <is>
          <t>Nota</t>
        </is>
      </c>
    </row>
    <row r="7">
      <c r="A7" s="5" t="inlineStr">
        <is>
          <t>Horas al mes para vender y atender</t>
        </is>
      </c>
      <c r="B7" s="19">
        <f>Panel!$B$23</f>
        <v/>
      </c>
      <c r="C7" s="5" t="n"/>
      <c r="D7" s="5" t="n"/>
      <c r="E7" s="5" t="n"/>
      <c r="F7" s="5" t="inlineStr">
        <is>
          <t>Del Panel.</t>
        </is>
      </c>
    </row>
    <row r="8">
      <c r="A8" s="5" t="inlineStr">
        <is>
          <t>Soporte de una cuenta asentada (horas/mes)</t>
        </is>
      </c>
      <c r="B8" s="19">
        <f>Panel!$B$26/60</f>
        <v/>
      </c>
      <c r="C8" s="5" t="n"/>
      <c r="D8" s="5" t="n"/>
      <c r="E8" s="5" t="n"/>
      <c r="F8" s="5" t="inlineStr">
        <is>
          <t>Los minutos del Panel pasados a horas.</t>
        </is>
      </c>
    </row>
    <row r="9">
      <c r="A9" s="9" t="inlineStr">
        <is>
          <t>Cuentas que llenan tus horas solo con soporte</t>
        </is>
      </c>
      <c r="B9" s="17">
        <f>IF(B8&lt;=0,"sin limite",ROUNDDOWN(B7/B8,0))</f>
        <v/>
      </c>
      <c r="C9" s="9" t="n"/>
      <c r="D9" s="9" t="n"/>
      <c r="E9" s="9" t="n"/>
      <c r="F9" s="9" t="inlineStr">
        <is>
          <t>A partir de aqui no te queda ni una hora para vender.</t>
        </is>
      </c>
    </row>
    <row r="11" ht="30" customHeight="1">
      <c r="A11" s="4" t="inlineStr">
        <is>
          <t>Cuentas atendidas</t>
        </is>
      </c>
      <c r="B11" s="4" t="inlineStr">
        <is>
          <t>Horas de soporte</t>
        </is>
      </c>
      <c r="C11" s="4" t="inlineStr">
        <is>
          <t>% de tus horas</t>
        </is>
      </c>
      <c r="D11" s="4" t="inlineStr">
        <is>
          <t>Horas libres para vender</t>
        </is>
      </c>
      <c r="E11" s="4" t="inlineStr">
        <is>
          <t>Altas que puedes cerrar</t>
        </is>
      </c>
      <c r="F11" s="4" t="inlineStr">
        <is>
          <t>Situacion</t>
        </is>
      </c>
    </row>
    <row r="12">
      <c r="A12" s="20" t="n">
        <v>10</v>
      </c>
      <c r="B12" s="19">
        <f>A12*Panel!$B$26/60</f>
        <v/>
      </c>
      <c r="C12" s="21">
        <f>IF(Panel!$B$23=0,0,B12/Panel!$B$23)</f>
        <v/>
      </c>
      <c r="D12" s="19">
        <f>MAX(0,Panel!$B$23-B12)</f>
        <v/>
      </c>
      <c r="E12" s="20">
        <f>IF(Panel!$B$24&lt;=0,0,ROUNDDOWN(D12/Panel!$B$24,0))</f>
        <v/>
      </c>
      <c r="F12" s="5">
        <f>IF(C12&gt;=1,"Ya no puedes vender: solo atiendes",IF(C12&gt;=0.7,"Al limite: el soporte se come el mes",IF(C12&gt;=0.4,"Creces despacio","Tienes margen para vender")))</f>
        <v/>
      </c>
    </row>
    <row r="13">
      <c r="A13" s="20" t="n">
        <v>25</v>
      </c>
      <c r="B13" s="19">
        <f>A13*Panel!$B$26/60</f>
        <v/>
      </c>
      <c r="C13" s="21">
        <f>IF(Panel!$B$23=0,0,B13/Panel!$B$23)</f>
        <v/>
      </c>
      <c r="D13" s="19">
        <f>MAX(0,Panel!$B$23-B13)</f>
        <v/>
      </c>
      <c r="E13" s="20">
        <f>IF(Panel!$B$24&lt;=0,0,ROUNDDOWN(D13/Panel!$B$24,0))</f>
        <v/>
      </c>
      <c r="F13" s="5">
        <f>IF(C13&gt;=1,"Ya no puedes vender: solo atiendes",IF(C13&gt;=0.7,"Al limite: el soporte se come el mes",IF(C13&gt;=0.4,"Creces despacio","Tienes margen para vender")))</f>
        <v/>
      </c>
    </row>
    <row r="14">
      <c r="A14" s="22" t="n">
        <v>50</v>
      </c>
      <c r="B14" s="23">
        <f>A14*Panel!$B$26/60</f>
        <v/>
      </c>
      <c r="C14" s="24">
        <f>IF(Panel!$B$23=0,0,B14/Panel!$B$23)</f>
        <v/>
      </c>
      <c r="D14" s="23">
        <f>MAX(0,Panel!$B$23-B14)</f>
        <v/>
      </c>
      <c r="E14" s="22">
        <f>IF(Panel!$B$24&lt;=0,0,ROUNDDOWN(D14/Panel!$B$24,0))</f>
        <v/>
      </c>
      <c r="F14" s="25">
        <f>IF(C14&gt;=1,"Ya no puedes vender: solo atiendes",IF(C14&gt;=0.7,"Al limite: el soporte se come el mes",IF(C14&gt;=0.4,"Creces despacio","Tienes margen para vender")))</f>
        <v/>
      </c>
    </row>
    <row r="15">
      <c r="A15" s="20" t="n">
        <v>75</v>
      </c>
      <c r="B15" s="19">
        <f>A15*Panel!$B$26/60</f>
        <v/>
      </c>
      <c r="C15" s="21">
        <f>IF(Panel!$B$23=0,0,B15/Panel!$B$23)</f>
        <v/>
      </c>
      <c r="D15" s="19">
        <f>MAX(0,Panel!$B$23-B15)</f>
        <v/>
      </c>
      <c r="E15" s="20">
        <f>IF(Panel!$B$24&lt;=0,0,ROUNDDOWN(D15/Panel!$B$24,0))</f>
        <v/>
      </c>
      <c r="F15" s="5">
        <f>IF(C15&gt;=1,"Ya no puedes vender: solo atiendes",IF(C15&gt;=0.7,"Al limite: el soporte se come el mes",IF(C15&gt;=0.4,"Creces despacio","Tienes margen para vender")))</f>
        <v/>
      </c>
    </row>
    <row r="16">
      <c r="A16" s="20" t="n">
        <v>100</v>
      </c>
      <c r="B16" s="19">
        <f>A16*Panel!$B$26/60</f>
        <v/>
      </c>
      <c r="C16" s="21">
        <f>IF(Panel!$B$23=0,0,B16/Panel!$B$23)</f>
        <v/>
      </c>
      <c r="D16" s="19">
        <f>MAX(0,Panel!$B$23-B16)</f>
        <v/>
      </c>
      <c r="E16" s="20">
        <f>IF(Panel!$B$24&lt;=0,0,ROUNDDOWN(D16/Panel!$B$24,0))</f>
        <v/>
      </c>
      <c r="F16" s="5">
        <f>IF(C16&gt;=1,"Ya no puedes vender: solo atiendes",IF(C16&gt;=0.7,"Al limite: el soporte se come el mes",IF(C16&gt;=0.4,"Creces despacio","Tienes margen para vender")))</f>
        <v/>
      </c>
    </row>
    <row r="17">
      <c r="A17" s="22" t="n">
        <v>150</v>
      </c>
      <c r="B17" s="23">
        <f>A17*Panel!$B$26/60</f>
        <v/>
      </c>
      <c r="C17" s="24">
        <f>IF(Panel!$B$23=0,0,B17/Panel!$B$23)</f>
        <v/>
      </c>
      <c r="D17" s="23">
        <f>MAX(0,Panel!$B$23-B17)</f>
        <v/>
      </c>
      <c r="E17" s="22">
        <f>IF(Panel!$B$24&lt;=0,0,ROUNDDOWN(D17/Panel!$B$24,0))</f>
        <v/>
      </c>
      <c r="F17" s="25">
        <f>IF(C17&gt;=1,"Ya no puedes vender: solo atiendes",IF(C17&gt;=0.7,"Al limite: el soporte se come el mes",IF(C17&gt;=0.4,"Creces despacio","Tienes margen para vender")))</f>
        <v/>
      </c>
    </row>
    <row r="18">
      <c r="A18" s="20" t="n">
        <v>200</v>
      </c>
      <c r="B18" s="19">
        <f>A18*Panel!$B$26/60</f>
        <v/>
      </c>
      <c r="C18" s="21">
        <f>IF(Panel!$B$23=0,0,B18/Panel!$B$23)</f>
        <v/>
      </c>
      <c r="D18" s="19">
        <f>MAX(0,Panel!$B$23-B18)</f>
        <v/>
      </c>
      <c r="E18" s="20">
        <f>IF(Panel!$B$24&lt;=0,0,ROUNDDOWN(D18/Panel!$B$24,0))</f>
        <v/>
      </c>
      <c r="F18" s="5">
        <f>IF(C18&gt;=1,"Ya no puedes vender: solo atiendes",IF(C18&gt;=0.7,"Al limite: el soporte se come el mes",IF(C18&gt;=0.4,"Creces despacio","Tienes margen para vender")))</f>
        <v/>
      </c>
    </row>
    <row r="19">
      <c r="A19" s="20" t="n">
        <v>300</v>
      </c>
      <c r="B19" s="19">
        <f>A19*Panel!$B$26/60</f>
        <v/>
      </c>
      <c r="C19" s="21">
        <f>IF(Panel!$B$23=0,0,B19/Panel!$B$23)</f>
        <v/>
      </c>
      <c r="D19" s="19">
        <f>MAX(0,Panel!$B$23-B19)</f>
        <v/>
      </c>
      <c r="E19" s="20">
        <f>IF(Panel!$B$24&lt;=0,0,ROUNDDOWN(D19/Panel!$B$24,0))</f>
        <v/>
      </c>
      <c r="F19" s="5">
        <f>IF(C19&gt;=1,"Ya no puedes vender: solo atiendes",IF(C19&gt;=0.7,"Al limite: el soporte se come el mes",IF(C19&gt;=0.4,"Creces despacio","Tienes margen para vender")))</f>
        <v/>
      </c>
    </row>
    <row r="21" ht="28" customHeight="1">
      <c r="A21" s="26" t="inlineStr">
        <is>
          <t>Contratar no resuelve el problema por si solo: una persona de soporte cuesta desde el primer dia y la cartera crece despacio. Por eso el margen del producto tiene que venir de que el soporte por cuenta baje —cerebro local, autoexplicacion, menos dudas—, no de meter mas gente.</t>
        </is>
      </c>
    </row>
    <row r="22"/>
    <row r="24" ht="30" customHeight="1">
      <c r="A24" s="4" t="inlineStr">
        <is>
          <t>Si contratas a media jornada</t>
        </is>
      </c>
      <c r="B24" s="4" t="inlineStr">
        <is>
          <t>Valor</t>
        </is>
      </c>
      <c r="C24" s="4" t="inlineStr"/>
      <c r="D24" s="4" t="inlineStr"/>
      <c r="E24" s="4" t="inlineStr"/>
      <c r="F24" s="4" t="inlineStr">
        <is>
          <t>Nota</t>
        </is>
      </c>
    </row>
    <row r="25">
      <c r="A25" s="5" t="inlineStr">
        <is>
          <t>Coste cargado al mes</t>
        </is>
      </c>
      <c r="B25" s="6" t="n">
        <v>900</v>
      </c>
      <c r="C25" s="5" t="n"/>
      <c r="D25" s="5" t="n"/>
      <c r="E25" s="5" t="n"/>
      <c r="F25" s="5" t="inlineStr">
        <is>
          <t>Media jornada con seguridad social. Editable.</t>
        </is>
      </c>
    </row>
    <row r="26">
      <c r="A26" s="9" t="inlineStr">
        <is>
          <t>Cuentas extra necesarias para pagarla</t>
        </is>
      </c>
      <c r="B26" s="17">
        <f>IF(Panel!$B$45&lt;=0,"-",ROUNDUP($B$25/Panel!$B$45,0))</f>
        <v/>
      </c>
      <c r="C26" s="9" t="n"/>
      <c r="D26" s="9" t="n"/>
      <c r="E26" s="9" t="n"/>
      <c r="F26" s="9" t="inlineStr">
        <is>
          <t>Sobre las que ya tengas: la persona no trae clientes, libera horas.</t>
        </is>
      </c>
    </row>
    <row r="28" ht="28" customHeight="1">
      <c r="A28" s="26" t="inlineStr">
        <is>
          <t>Esa cifra es la trampa del crecimiento: el coste entra de golpe y las altas llegan una a una. Antes de contratar conviene que la cartera pueda pagarlo ya, no que vaya a poder.</t>
        </is>
      </c>
    </row>
    <row r="29"/>
  </sheetData>
  <mergeCells count="3">
    <mergeCell ref="A21:I22"/>
    <mergeCell ref="A2:I4"/>
    <mergeCell ref="A28:I29"/>
  </mergeCells>
  <conditionalFormatting sqref="C12:C19">
    <cfRule type="cellIs" priority="1" operator="greaterThanOrEqual" dxfId="0">
      <formula>0.7</formula>
    </cfRule>
    <cfRule type="cellIs" priority="2" operator="lessThan" dxfId="2">
      <formula>0.4</formula>
    </cfRule>
  </conditionalFormatting>
  <pageMargins left="0.75" right="0.75" top="1" bottom="1" header="0.5" footer="0.5"/>
</worksheet>
</file>

<file path=xl/worksheets/sheet3.xml><?xml version="1.0" encoding="utf-8"?>
<worksheet xmlns="http://schemas.openxmlformats.org/spreadsheetml/2006/main">
  <sheetPr>
    <tabColor rgb="FF2E8B74"/>
    <outlinePr summaryBelow="1" summaryRight="1"/>
    <pageSetUpPr/>
  </sheetPr>
  <dimension ref="A1:M48"/>
  <sheetViews>
    <sheetView showGridLines="0" workbookViewId="0">
      <selection activeCell="A1" sqref="A1"/>
    </sheetView>
  </sheetViews>
  <sheetFormatPr baseColWidth="8" defaultRowHeight="15"/>
  <cols>
    <col width="7" customWidth="1" min="1" max="1"/>
    <col width="11" customWidth="1" min="2" max="2"/>
    <col width="11" customWidth="1" min="3" max="3"/>
    <col width="11" customWidth="1" min="4" max="4"/>
    <col width="11" customWidth="1" min="5" max="5"/>
    <col width="12" customWidth="1" min="6" max="6"/>
    <col width="12" customWidth="1" min="7" max="7"/>
    <col width="13" customWidth="1" min="8" max="8"/>
    <col width="13" customWidth="1" min="9" max="9"/>
    <col width="13" customWidth="1" min="10" max="10"/>
    <col width="13" customWidth="1" min="11" max="11"/>
    <col width="14" customWidth="1" min="12" max="12"/>
    <col width="14" customWidth="1" min="13" max="13"/>
  </cols>
  <sheetData>
    <row r="1">
      <c r="A1" s="1" t="inlineStr">
        <is>
          <t>36 meses reales: cuatro cohortes y tus horas</t>
        </is>
      </c>
    </row>
    <row r="2" ht="42" customHeight="1">
      <c r="A2" s="2" t="inlineStr">
        <is>
          <t>Cada mes entran las altas que te permiten tus horas libres, no las que te gustaria. Las cuentas se siguen por edad porque las nuevas se van mas y preguntan mas. La proyeccion anterior suponia altas constantes y cero bajas; esta se frena sola cuando el soporte te ocupa el mes.</t>
        </is>
      </c>
    </row>
    <row r="3"/>
    <row r="4"/>
    <row r="6">
      <c r="A6" s="9" t="inlineStr">
        <is>
          <t>Mes en que dejas de perder dinero</t>
        </is>
      </c>
      <c r="B6" s="17">
        <f>IFERROR(INDEX($A$10:$A$45,MATCH(TRUE,INDEX($L$10:$L$45&gt;0,0),0)),"no llega en 36 meses")</f>
        <v/>
      </c>
    </row>
    <row r="7">
      <c r="A7" s="9" t="inlineStr">
        <is>
          <t>Caja minima por el camino</t>
        </is>
      </c>
      <c r="B7" s="16">
        <f>MIN($M$10:$M$45)</f>
        <v/>
      </c>
    </row>
    <row r="8">
      <c r="A8" s="9" t="inlineStr">
        <is>
          <t>Cuentas al mes 36</t>
        </is>
      </c>
      <c r="B8" s="17">
        <f>$H$45</f>
        <v/>
      </c>
      <c r="D8" s="27" t="inlineStr">
        <is>
          <t>Horas disponibles</t>
        </is>
      </c>
      <c r="E8" s="28">
        <f>Panel!$B$23</f>
        <v/>
      </c>
    </row>
    <row r="9" ht="30" customHeight="1">
      <c r="A9" s="4" t="inlineStr">
        <is>
          <t>Mes</t>
        </is>
      </c>
      <c r="B9" s="4" t="inlineStr">
        <is>
          <t>Altas</t>
        </is>
      </c>
      <c r="C9" s="4" t="inlineStr">
        <is>
          <t>Mes 1</t>
        </is>
      </c>
      <c r="D9" s="4" t="inlineStr">
        <is>
          <t>Mes 2</t>
        </is>
      </c>
      <c r="E9" s="4" t="inlineStr">
        <is>
          <t>Mes 3</t>
        </is>
      </c>
      <c r="F9" s="4" t="inlineStr">
        <is>
          <t>Asentadas</t>
        </is>
      </c>
      <c r="G9" s="4" t="inlineStr">
        <is>
          <t>Cuentas</t>
        </is>
      </c>
      <c r="H9" s="4" t="inlineStr">
        <is>
          <t>Horas usadas</t>
        </is>
      </c>
      <c r="I9" s="4" t="inlineStr">
        <is>
          <t>Facturado</t>
        </is>
      </c>
      <c r="J9" s="4" t="inlineStr">
        <is>
          <t>Cobrado</t>
        </is>
      </c>
      <c r="K9" s="4" t="inlineStr">
        <is>
          <t>Contribucion</t>
        </is>
      </c>
      <c r="L9" s="4" t="inlineStr">
        <is>
          <t>Resultado</t>
        </is>
      </c>
      <c r="M9" s="4" t="inlineStr">
        <is>
          <t>Caja</t>
        </is>
      </c>
    </row>
    <row r="10">
      <c r="A10" s="20" t="n">
        <v>1</v>
      </c>
      <c r="B10" s="20">
        <f>MAX(0,MIN(ROUND(Panel!$B$27*(1+Panel!$B$28)^(A10-1),0),ROUNDDOWN(MAX(0,Panel!$B$23-0)/Panel!$B$24,0)))</f>
        <v/>
      </c>
      <c r="C10" s="19">
        <f>B10</f>
        <v/>
      </c>
      <c r="D10" s="19">
        <f>0</f>
        <v/>
      </c>
      <c r="E10" s="19">
        <f>0</f>
        <v/>
      </c>
      <c r="F10" s="19">
        <f>0</f>
        <v/>
      </c>
      <c r="G10" s="19">
        <f>C10+D10+E10+F10</f>
        <v/>
      </c>
      <c r="H10" s="19">
        <f>B10*Panel!$B$24+((C10+D10+E10)*Panel!$B$25+F10*Panel!$B$26)/60</f>
        <v/>
      </c>
      <c r="I10" s="29">
        <f>G10*Panel!$B$11-B10*Panel!$B$11*Panel!$B$17/30</f>
        <v/>
      </c>
      <c r="J10" s="29">
        <f>I10*(1-Panel!$B$18)</f>
        <v/>
      </c>
      <c r="K10" s="29">
        <f>J10-G10*Panel!$C$11</f>
        <v/>
      </c>
      <c r="L10" s="29">
        <f>K10-Panel!$B$40</f>
        <v/>
      </c>
      <c r="M10" s="29">
        <f>Panel!$B$41+L10</f>
        <v/>
      </c>
    </row>
    <row r="11">
      <c r="A11" s="20" t="n">
        <v>2</v>
      </c>
      <c r="B11" s="20">
        <f>MAX(0,MIN(ROUND(Panel!$B$27*(1+Panel!$B$28)^(A11-1),0),ROUNDDOWN(MAX(0,Panel!$B$23-((C10+D10+E10)*Panel!$B$25+F10*Panel!$B$26)/60)/Panel!$B$24,0)))</f>
        <v/>
      </c>
      <c r="C11" s="19">
        <f>B11</f>
        <v/>
      </c>
      <c r="D11" s="19">
        <f>C10*(1-Panel!$B$15)</f>
        <v/>
      </c>
      <c r="E11" s="19">
        <f>D10*(1-Panel!$B$15)</f>
        <v/>
      </c>
      <c r="F11" s="19">
        <f>(F10+E10)*(1-Panel!$B$16)</f>
        <v/>
      </c>
      <c r="G11" s="19">
        <f>C11+D11+E11+F11</f>
        <v/>
      </c>
      <c r="H11" s="19">
        <f>B11*Panel!$B$24+((C11+D11+E11)*Panel!$B$25+F11*Panel!$B$26)/60</f>
        <v/>
      </c>
      <c r="I11" s="29">
        <f>G11*Panel!$B$11-B11*Panel!$B$11*Panel!$B$17/30</f>
        <v/>
      </c>
      <c r="J11" s="29">
        <f>I11*(1-Panel!$B$18)</f>
        <v/>
      </c>
      <c r="K11" s="29">
        <f>J11-G11*Panel!$C$11</f>
        <v/>
      </c>
      <c r="L11" s="29">
        <f>K11-Panel!$B$40</f>
        <v/>
      </c>
      <c r="M11" s="29">
        <f>M10+L11</f>
        <v/>
      </c>
    </row>
    <row r="12">
      <c r="A12" s="20" t="n">
        <v>3</v>
      </c>
      <c r="B12" s="20">
        <f>MAX(0,MIN(ROUND(Panel!$B$27*(1+Panel!$B$28)^(A12-1),0),ROUNDDOWN(MAX(0,Panel!$B$23-((C11+D11+E11)*Panel!$B$25+F11*Panel!$B$26)/60)/Panel!$B$24,0)))</f>
        <v/>
      </c>
      <c r="C12" s="19">
        <f>B12</f>
        <v/>
      </c>
      <c r="D12" s="19">
        <f>C11*(1-Panel!$B$15)</f>
        <v/>
      </c>
      <c r="E12" s="19">
        <f>D11*(1-Panel!$B$15)</f>
        <v/>
      </c>
      <c r="F12" s="19">
        <f>(F11+E11)*(1-Panel!$B$16)</f>
        <v/>
      </c>
      <c r="G12" s="19">
        <f>C12+D12+E12+F12</f>
        <v/>
      </c>
      <c r="H12" s="19">
        <f>B12*Panel!$B$24+((C12+D12+E12)*Panel!$B$25+F12*Panel!$B$26)/60</f>
        <v/>
      </c>
      <c r="I12" s="29">
        <f>G12*Panel!$B$11-B12*Panel!$B$11*Panel!$B$17/30</f>
        <v/>
      </c>
      <c r="J12" s="29">
        <f>I12*(1-Panel!$B$18)</f>
        <v/>
      </c>
      <c r="K12" s="29">
        <f>J12-G12*Panel!$C$11</f>
        <v/>
      </c>
      <c r="L12" s="29">
        <f>K12-Panel!$B$40</f>
        <v/>
      </c>
      <c r="M12" s="29">
        <f>M11+L12</f>
        <v/>
      </c>
    </row>
    <row r="13">
      <c r="A13" s="20" t="n">
        <v>4</v>
      </c>
      <c r="B13" s="20">
        <f>MAX(0,MIN(ROUND(Panel!$B$27*(1+Panel!$B$28)^(A13-1),0),ROUNDDOWN(MAX(0,Panel!$B$23-((C12+D12+E12)*Panel!$B$25+F12*Panel!$B$26)/60)/Panel!$B$24,0)))</f>
        <v/>
      </c>
      <c r="C13" s="19">
        <f>B13</f>
        <v/>
      </c>
      <c r="D13" s="19">
        <f>C12*(1-Panel!$B$15)</f>
        <v/>
      </c>
      <c r="E13" s="19">
        <f>D12*(1-Panel!$B$15)</f>
        <v/>
      </c>
      <c r="F13" s="19">
        <f>(F12+E12)*(1-Panel!$B$16)</f>
        <v/>
      </c>
      <c r="G13" s="19">
        <f>C13+D13+E13+F13</f>
        <v/>
      </c>
      <c r="H13" s="19">
        <f>B13*Panel!$B$24+((C13+D13+E13)*Panel!$B$25+F13*Panel!$B$26)/60</f>
        <v/>
      </c>
      <c r="I13" s="29">
        <f>G13*Panel!$B$11-B13*Panel!$B$11*Panel!$B$17/30</f>
        <v/>
      </c>
      <c r="J13" s="29">
        <f>I13*(1-Panel!$B$18)</f>
        <v/>
      </c>
      <c r="K13" s="29">
        <f>J13-G13*Panel!$C$11</f>
        <v/>
      </c>
      <c r="L13" s="29">
        <f>K13-Panel!$B$40</f>
        <v/>
      </c>
      <c r="M13" s="29">
        <f>M12+L13</f>
        <v/>
      </c>
    </row>
    <row r="14">
      <c r="A14" s="20" t="n">
        <v>5</v>
      </c>
      <c r="B14" s="20">
        <f>MAX(0,MIN(ROUND(Panel!$B$27*(1+Panel!$B$28)^(A14-1),0),ROUNDDOWN(MAX(0,Panel!$B$23-((C13+D13+E13)*Panel!$B$25+F13*Panel!$B$26)/60)/Panel!$B$24,0)))</f>
        <v/>
      </c>
      <c r="C14" s="19">
        <f>B14</f>
        <v/>
      </c>
      <c r="D14" s="19">
        <f>C13*(1-Panel!$B$15)</f>
        <v/>
      </c>
      <c r="E14" s="19">
        <f>D13*(1-Panel!$B$15)</f>
        <v/>
      </c>
      <c r="F14" s="19">
        <f>(F13+E13)*(1-Panel!$B$16)</f>
        <v/>
      </c>
      <c r="G14" s="19">
        <f>C14+D14+E14+F14</f>
        <v/>
      </c>
      <c r="H14" s="19">
        <f>B14*Panel!$B$24+((C14+D14+E14)*Panel!$B$25+F14*Panel!$B$26)/60</f>
        <v/>
      </c>
      <c r="I14" s="29">
        <f>G14*Panel!$B$11-B14*Panel!$B$11*Panel!$B$17/30</f>
        <v/>
      </c>
      <c r="J14" s="29">
        <f>I14*(1-Panel!$B$18)</f>
        <v/>
      </c>
      <c r="K14" s="29">
        <f>J14-G14*Panel!$C$11</f>
        <v/>
      </c>
      <c r="L14" s="29">
        <f>K14-Panel!$B$40</f>
        <v/>
      </c>
      <c r="M14" s="29">
        <f>M13+L14</f>
        <v/>
      </c>
    </row>
    <row r="15">
      <c r="A15" s="20" t="n">
        <v>6</v>
      </c>
      <c r="B15" s="20">
        <f>MAX(0,MIN(ROUND(Panel!$B$27*(1+Panel!$B$28)^(A15-1),0),ROUNDDOWN(MAX(0,Panel!$B$23-((C14+D14+E14)*Panel!$B$25+F14*Panel!$B$26)/60)/Panel!$B$24,0)))</f>
        <v/>
      </c>
      <c r="C15" s="19">
        <f>B15</f>
        <v/>
      </c>
      <c r="D15" s="19">
        <f>C14*(1-Panel!$B$15)</f>
        <v/>
      </c>
      <c r="E15" s="19">
        <f>D14*(1-Panel!$B$15)</f>
        <v/>
      </c>
      <c r="F15" s="19">
        <f>(F14+E14)*(1-Panel!$B$16)</f>
        <v/>
      </c>
      <c r="G15" s="19">
        <f>C15+D15+E15+F15</f>
        <v/>
      </c>
      <c r="H15" s="19">
        <f>B15*Panel!$B$24+((C15+D15+E15)*Panel!$B$25+F15*Panel!$B$26)/60</f>
        <v/>
      </c>
      <c r="I15" s="29">
        <f>G15*Panel!$B$11-B15*Panel!$B$11*Panel!$B$17/30</f>
        <v/>
      </c>
      <c r="J15" s="29">
        <f>I15*(1-Panel!$B$18)</f>
        <v/>
      </c>
      <c r="K15" s="29">
        <f>J15-G15*Panel!$C$11</f>
        <v/>
      </c>
      <c r="L15" s="29">
        <f>K15-Panel!$B$40</f>
        <v/>
      </c>
      <c r="M15" s="29">
        <f>M14+L15</f>
        <v/>
      </c>
    </row>
    <row r="16">
      <c r="A16" s="20" t="n">
        <v>7</v>
      </c>
      <c r="B16" s="20">
        <f>MAX(0,MIN(ROUND(Panel!$B$27*(1+Panel!$B$28)^(A16-1),0),ROUNDDOWN(MAX(0,Panel!$B$23-((C15+D15+E15)*Panel!$B$25+F15*Panel!$B$26)/60)/Panel!$B$24,0)))</f>
        <v/>
      </c>
      <c r="C16" s="19">
        <f>B16</f>
        <v/>
      </c>
      <c r="D16" s="19">
        <f>C15*(1-Panel!$B$15)</f>
        <v/>
      </c>
      <c r="E16" s="19">
        <f>D15*(1-Panel!$B$15)</f>
        <v/>
      </c>
      <c r="F16" s="19">
        <f>(F15+E15)*(1-Panel!$B$16)</f>
        <v/>
      </c>
      <c r="G16" s="19">
        <f>C16+D16+E16+F16</f>
        <v/>
      </c>
      <c r="H16" s="19">
        <f>B16*Panel!$B$24+((C16+D16+E16)*Panel!$B$25+F16*Panel!$B$26)/60</f>
        <v/>
      </c>
      <c r="I16" s="29">
        <f>G16*Panel!$B$11-B16*Panel!$B$11*Panel!$B$17/30</f>
        <v/>
      </c>
      <c r="J16" s="29">
        <f>I16*(1-Panel!$B$18)</f>
        <v/>
      </c>
      <c r="K16" s="29">
        <f>J16-G16*Panel!$C$11</f>
        <v/>
      </c>
      <c r="L16" s="29">
        <f>K16-Panel!$B$40</f>
        <v/>
      </c>
      <c r="M16" s="29">
        <f>M15+L16</f>
        <v/>
      </c>
    </row>
    <row r="17">
      <c r="A17" s="20" t="n">
        <v>8</v>
      </c>
      <c r="B17" s="20">
        <f>MAX(0,MIN(ROUND(Panel!$B$27*(1+Panel!$B$28)^(A17-1),0),ROUNDDOWN(MAX(0,Panel!$B$23-((C16+D16+E16)*Panel!$B$25+F16*Panel!$B$26)/60)/Panel!$B$24,0)))</f>
        <v/>
      </c>
      <c r="C17" s="19">
        <f>B17</f>
        <v/>
      </c>
      <c r="D17" s="19">
        <f>C16*(1-Panel!$B$15)</f>
        <v/>
      </c>
      <c r="E17" s="19">
        <f>D16*(1-Panel!$B$15)</f>
        <v/>
      </c>
      <c r="F17" s="19">
        <f>(F16+E16)*(1-Panel!$B$16)</f>
        <v/>
      </c>
      <c r="G17" s="19">
        <f>C17+D17+E17+F17</f>
        <v/>
      </c>
      <c r="H17" s="19">
        <f>B17*Panel!$B$24+((C17+D17+E17)*Panel!$B$25+F17*Panel!$B$26)/60</f>
        <v/>
      </c>
      <c r="I17" s="29">
        <f>G17*Panel!$B$11-B17*Panel!$B$11*Panel!$B$17/30</f>
        <v/>
      </c>
      <c r="J17" s="29">
        <f>I17*(1-Panel!$B$18)</f>
        <v/>
      </c>
      <c r="K17" s="29">
        <f>J17-G17*Panel!$C$11</f>
        <v/>
      </c>
      <c r="L17" s="29">
        <f>K17-Panel!$B$40</f>
        <v/>
      </c>
      <c r="M17" s="29">
        <f>M16+L17</f>
        <v/>
      </c>
    </row>
    <row r="18">
      <c r="A18" s="20" t="n">
        <v>9</v>
      </c>
      <c r="B18" s="20">
        <f>MAX(0,MIN(ROUND(Panel!$B$27*(1+Panel!$B$28)^(A18-1),0),ROUNDDOWN(MAX(0,Panel!$B$23-((C17+D17+E17)*Panel!$B$25+F17*Panel!$B$26)/60)/Panel!$B$24,0)))</f>
        <v/>
      </c>
      <c r="C18" s="19">
        <f>B18</f>
        <v/>
      </c>
      <c r="D18" s="19">
        <f>C17*(1-Panel!$B$15)</f>
        <v/>
      </c>
      <c r="E18" s="19">
        <f>D17*(1-Panel!$B$15)</f>
        <v/>
      </c>
      <c r="F18" s="19">
        <f>(F17+E17)*(1-Panel!$B$16)</f>
        <v/>
      </c>
      <c r="G18" s="19">
        <f>C18+D18+E18+F18</f>
        <v/>
      </c>
      <c r="H18" s="19">
        <f>B18*Panel!$B$24+((C18+D18+E18)*Panel!$B$25+F18*Panel!$B$26)/60</f>
        <v/>
      </c>
      <c r="I18" s="29">
        <f>G18*Panel!$B$11-B18*Panel!$B$11*Panel!$B$17/30</f>
        <v/>
      </c>
      <c r="J18" s="29">
        <f>I18*(1-Panel!$B$18)</f>
        <v/>
      </c>
      <c r="K18" s="29">
        <f>J18-G18*Panel!$C$11</f>
        <v/>
      </c>
      <c r="L18" s="29">
        <f>K18-Panel!$B$40</f>
        <v/>
      </c>
      <c r="M18" s="29">
        <f>M17+L18</f>
        <v/>
      </c>
    </row>
    <row r="19">
      <c r="A19" s="20" t="n">
        <v>10</v>
      </c>
      <c r="B19" s="20">
        <f>MAX(0,MIN(ROUND(Panel!$B$27*(1+Panel!$B$28)^(A19-1),0),ROUNDDOWN(MAX(0,Panel!$B$23-((C18+D18+E18)*Panel!$B$25+F18*Panel!$B$26)/60)/Panel!$B$24,0)))</f>
        <v/>
      </c>
      <c r="C19" s="19">
        <f>B19</f>
        <v/>
      </c>
      <c r="D19" s="19">
        <f>C18*(1-Panel!$B$15)</f>
        <v/>
      </c>
      <c r="E19" s="19">
        <f>D18*(1-Panel!$B$15)</f>
        <v/>
      </c>
      <c r="F19" s="19">
        <f>(F18+E18)*(1-Panel!$B$16)</f>
        <v/>
      </c>
      <c r="G19" s="19">
        <f>C19+D19+E19+F19</f>
        <v/>
      </c>
      <c r="H19" s="19">
        <f>B19*Panel!$B$24+((C19+D19+E19)*Panel!$B$25+F19*Panel!$B$26)/60</f>
        <v/>
      </c>
      <c r="I19" s="29">
        <f>G19*Panel!$B$11-B19*Panel!$B$11*Panel!$B$17/30</f>
        <v/>
      </c>
      <c r="J19" s="29">
        <f>I19*(1-Panel!$B$18)</f>
        <v/>
      </c>
      <c r="K19" s="29">
        <f>J19-G19*Panel!$C$11</f>
        <v/>
      </c>
      <c r="L19" s="29">
        <f>K19-Panel!$B$40</f>
        <v/>
      </c>
      <c r="M19" s="29">
        <f>M18+L19</f>
        <v/>
      </c>
    </row>
    <row r="20">
      <c r="A20" s="20" t="n">
        <v>11</v>
      </c>
      <c r="B20" s="20">
        <f>MAX(0,MIN(ROUND(Panel!$B$27*(1+Panel!$B$28)^(A20-1),0),ROUNDDOWN(MAX(0,Panel!$B$23-((C19+D19+E19)*Panel!$B$25+F19*Panel!$B$26)/60)/Panel!$B$24,0)))</f>
        <v/>
      </c>
      <c r="C20" s="19">
        <f>B20</f>
        <v/>
      </c>
      <c r="D20" s="19">
        <f>C19*(1-Panel!$B$15)</f>
        <v/>
      </c>
      <c r="E20" s="19">
        <f>D19*(1-Panel!$B$15)</f>
        <v/>
      </c>
      <c r="F20" s="19">
        <f>(F19+E19)*(1-Panel!$B$16)</f>
        <v/>
      </c>
      <c r="G20" s="19">
        <f>C20+D20+E20+F20</f>
        <v/>
      </c>
      <c r="H20" s="19">
        <f>B20*Panel!$B$24+((C20+D20+E20)*Panel!$B$25+F20*Panel!$B$26)/60</f>
        <v/>
      </c>
      <c r="I20" s="29">
        <f>G20*Panel!$B$11-B20*Panel!$B$11*Panel!$B$17/30</f>
        <v/>
      </c>
      <c r="J20" s="29">
        <f>I20*(1-Panel!$B$18)</f>
        <v/>
      </c>
      <c r="K20" s="29">
        <f>J20-G20*Panel!$C$11</f>
        <v/>
      </c>
      <c r="L20" s="29">
        <f>K20-Panel!$B$40</f>
        <v/>
      </c>
      <c r="M20" s="29">
        <f>M19+L20</f>
        <v/>
      </c>
    </row>
    <row r="21">
      <c r="A21" s="22" t="n">
        <v>12</v>
      </c>
      <c r="B21" s="22">
        <f>MAX(0,MIN(ROUND(Panel!$B$27*(1+Panel!$B$28)^(A21-1),0),ROUNDDOWN(MAX(0,Panel!$B$23-((C20+D20+E20)*Panel!$B$25+F20*Panel!$B$26)/60)/Panel!$B$24,0)))</f>
        <v/>
      </c>
      <c r="C21" s="23">
        <f>B21</f>
        <v/>
      </c>
      <c r="D21" s="23">
        <f>C20*(1-Panel!$B$15)</f>
        <v/>
      </c>
      <c r="E21" s="23">
        <f>D20*(1-Panel!$B$15)</f>
        <v/>
      </c>
      <c r="F21" s="23">
        <f>(F20+E20)*(1-Panel!$B$16)</f>
        <v/>
      </c>
      <c r="G21" s="23">
        <f>C21+D21+E21+F21</f>
        <v/>
      </c>
      <c r="H21" s="23">
        <f>B21*Panel!$B$24+((C21+D21+E21)*Panel!$B$25+F21*Panel!$B$26)/60</f>
        <v/>
      </c>
      <c r="I21" s="30">
        <f>G21*Panel!$B$11-B21*Panel!$B$11*Panel!$B$17/30</f>
        <v/>
      </c>
      <c r="J21" s="30">
        <f>I21*(1-Panel!$B$18)</f>
        <v/>
      </c>
      <c r="K21" s="30">
        <f>J21-G21*Panel!$C$11</f>
        <v/>
      </c>
      <c r="L21" s="30">
        <f>K21-Panel!$B$40</f>
        <v/>
      </c>
      <c r="M21" s="30">
        <f>M20+L21</f>
        <v/>
      </c>
    </row>
    <row r="22">
      <c r="A22" s="20" t="n">
        <v>13</v>
      </c>
      <c r="B22" s="20">
        <f>MAX(0,MIN(ROUND(Panel!$B$27*(1+Panel!$B$28)^(A22-1),0),ROUNDDOWN(MAX(0,Panel!$B$23-((C21+D21+E21)*Panel!$B$25+F21*Panel!$B$26)/60)/Panel!$B$24,0)))</f>
        <v/>
      </c>
      <c r="C22" s="19">
        <f>B22</f>
        <v/>
      </c>
      <c r="D22" s="19">
        <f>C21*(1-Panel!$B$15)</f>
        <v/>
      </c>
      <c r="E22" s="19">
        <f>D21*(1-Panel!$B$15)</f>
        <v/>
      </c>
      <c r="F22" s="19">
        <f>(F21+E21)*(1-Panel!$B$16)</f>
        <v/>
      </c>
      <c r="G22" s="19">
        <f>C22+D22+E22+F22</f>
        <v/>
      </c>
      <c r="H22" s="19">
        <f>B22*Panel!$B$24+((C22+D22+E22)*Panel!$B$25+F22*Panel!$B$26)/60</f>
        <v/>
      </c>
      <c r="I22" s="29">
        <f>G22*Panel!$B$11-B22*Panel!$B$11*Panel!$B$17/30</f>
        <v/>
      </c>
      <c r="J22" s="29">
        <f>I22*(1-Panel!$B$18)</f>
        <v/>
      </c>
      <c r="K22" s="29">
        <f>J22-G22*Panel!$C$11</f>
        <v/>
      </c>
      <c r="L22" s="29">
        <f>K22-Panel!$B$40</f>
        <v/>
      </c>
      <c r="M22" s="29">
        <f>M21+L22</f>
        <v/>
      </c>
    </row>
    <row r="23">
      <c r="A23" s="20" t="n">
        <v>14</v>
      </c>
      <c r="B23" s="20">
        <f>MAX(0,MIN(ROUND(Panel!$B$27*(1+Panel!$B$28)^(A23-1),0),ROUNDDOWN(MAX(0,Panel!$B$23-((C22+D22+E22)*Panel!$B$25+F22*Panel!$B$26)/60)/Panel!$B$24,0)))</f>
        <v/>
      </c>
      <c r="C23" s="19">
        <f>B23</f>
        <v/>
      </c>
      <c r="D23" s="19">
        <f>C22*(1-Panel!$B$15)</f>
        <v/>
      </c>
      <c r="E23" s="19">
        <f>D22*(1-Panel!$B$15)</f>
        <v/>
      </c>
      <c r="F23" s="19">
        <f>(F22+E22)*(1-Panel!$B$16)</f>
        <v/>
      </c>
      <c r="G23" s="19">
        <f>C23+D23+E23+F23</f>
        <v/>
      </c>
      <c r="H23" s="19">
        <f>B23*Panel!$B$24+((C23+D23+E23)*Panel!$B$25+F23*Panel!$B$26)/60</f>
        <v/>
      </c>
      <c r="I23" s="29">
        <f>G23*Panel!$B$11-B23*Panel!$B$11*Panel!$B$17/30</f>
        <v/>
      </c>
      <c r="J23" s="29">
        <f>I23*(1-Panel!$B$18)</f>
        <v/>
      </c>
      <c r="K23" s="29">
        <f>J23-G23*Panel!$C$11</f>
        <v/>
      </c>
      <c r="L23" s="29">
        <f>K23-Panel!$B$40</f>
        <v/>
      </c>
      <c r="M23" s="29">
        <f>M22+L23</f>
        <v/>
      </c>
    </row>
    <row r="24">
      <c r="A24" s="20" t="n">
        <v>15</v>
      </c>
      <c r="B24" s="20">
        <f>MAX(0,MIN(ROUND(Panel!$B$27*(1+Panel!$B$28)^(A24-1),0),ROUNDDOWN(MAX(0,Panel!$B$23-((C23+D23+E23)*Panel!$B$25+F23*Panel!$B$26)/60)/Panel!$B$24,0)))</f>
        <v/>
      </c>
      <c r="C24" s="19">
        <f>B24</f>
        <v/>
      </c>
      <c r="D24" s="19">
        <f>C23*(1-Panel!$B$15)</f>
        <v/>
      </c>
      <c r="E24" s="19">
        <f>D23*(1-Panel!$B$15)</f>
        <v/>
      </c>
      <c r="F24" s="19">
        <f>(F23+E23)*(1-Panel!$B$16)</f>
        <v/>
      </c>
      <c r="G24" s="19">
        <f>C24+D24+E24+F24</f>
        <v/>
      </c>
      <c r="H24" s="19">
        <f>B24*Panel!$B$24+((C24+D24+E24)*Panel!$B$25+F24*Panel!$B$26)/60</f>
        <v/>
      </c>
      <c r="I24" s="29">
        <f>G24*Panel!$B$11-B24*Panel!$B$11*Panel!$B$17/30</f>
        <v/>
      </c>
      <c r="J24" s="29">
        <f>I24*(1-Panel!$B$18)</f>
        <v/>
      </c>
      <c r="K24" s="29">
        <f>J24-G24*Panel!$C$11</f>
        <v/>
      </c>
      <c r="L24" s="29">
        <f>K24-Panel!$B$40</f>
        <v/>
      </c>
      <c r="M24" s="29">
        <f>M23+L24</f>
        <v/>
      </c>
    </row>
    <row r="25">
      <c r="A25" s="20" t="n">
        <v>16</v>
      </c>
      <c r="B25" s="20">
        <f>MAX(0,MIN(ROUND(Panel!$B$27*(1+Panel!$B$28)^(A25-1),0),ROUNDDOWN(MAX(0,Panel!$B$23-((C24+D24+E24)*Panel!$B$25+F24*Panel!$B$26)/60)/Panel!$B$24,0)))</f>
        <v/>
      </c>
      <c r="C25" s="19">
        <f>B25</f>
        <v/>
      </c>
      <c r="D25" s="19">
        <f>C24*(1-Panel!$B$15)</f>
        <v/>
      </c>
      <c r="E25" s="19">
        <f>D24*(1-Panel!$B$15)</f>
        <v/>
      </c>
      <c r="F25" s="19">
        <f>(F24+E24)*(1-Panel!$B$16)</f>
        <v/>
      </c>
      <c r="G25" s="19">
        <f>C25+D25+E25+F25</f>
        <v/>
      </c>
      <c r="H25" s="19">
        <f>B25*Panel!$B$24+((C25+D25+E25)*Panel!$B$25+F25*Panel!$B$26)/60</f>
        <v/>
      </c>
      <c r="I25" s="29">
        <f>G25*Panel!$B$11-B25*Panel!$B$11*Panel!$B$17/30</f>
        <v/>
      </c>
      <c r="J25" s="29">
        <f>I25*(1-Panel!$B$18)</f>
        <v/>
      </c>
      <c r="K25" s="29">
        <f>J25-G25*Panel!$C$11</f>
        <v/>
      </c>
      <c r="L25" s="29">
        <f>K25-Panel!$B$40</f>
        <v/>
      </c>
      <c r="M25" s="29">
        <f>M24+L25</f>
        <v/>
      </c>
    </row>
    <row r="26">
      <c r="A26" s="20" t="n">
        <v>17</v>
      </c>
      <c r="B26" s="20">
        <f>MAX(0,MIN(ROUND(Panel!$B$27*(1+Panel!$B$28)^(A26-1),0),ROUNDDOWN(MAX(0,Panel!$B$23-((C25+D25+E25)*Panel!$B$25+F25*Panel!$B$26)/60)/Panel!$B$24,0)))</f>
        <v/>
      </c>
      <c r="C26" s="19">
        <f>B26</f>
        <v/>
      </c>
      <c r="D26" s="19">
        <f>C25*(1-Panel!$B$15)</f>
        <v/>
      </c>
      <c r="E26" s="19">
        <f>D25*(1-Panel!$B$15)</f>
        <v/>
      </c>
      <c r="F26" s="19">
        <f>(F25+E25)*(1-Panel!$B$16)</f>
        <v/>
      </c>
      <c r="G26" s="19">
        <f>C26+D26+E26+F26</f>
        <v/>
      </c>
      <c r="H26" s="19">
        <f>B26*Panel!$B$24+((C26+D26+E26)*Panel!$B$25+F26*Panel!$B$26)/60</f>
        <v/>
      </c>
      <c r="I26" s="29">
        <f>G26*Panel!$B$11-B26*Panel!$B$11*Panel!$B$17/30</f>
        <v/>
      </c>
      <c r="J26" s="29">
        <f>I26*(1-Panel!$B$18)</f>
        <v/>
      </c>
      <c r="K26" s="29">
        <f>J26-G26*Panel!$C$11</f>
        <v/>
      </c>
      <c r="L26" s="29">
        <f>K26-Panel!$B$40</f>
        <v/>
      </c>
      <c r="M26" s="29">
        <f>M25+L26</f>
        <v/>
      </c>
    </row>
    <row r="27">
      <c r="A27" s="20" t="n">
        <v>18</v>
      </c>
      <c r="B27" s="20">
        <f>MAX(0,MIN(ROUND(Panel!$B$27*(1+Panel!$B$28)^(A27-1),0),ROUNDDOWN(MAX(0,Panel!$B$23-((C26+D26+E26)*Panel!$B$25+F26*Panel!$B$26)/60)/Panel!$B$24,0)))</f>
        <v/>
      </c>
      <c r="C27" s="19">
        <f>B27</f>
        <v/>
      </c>
      <c r="D27" s="19">
        <f>C26*(1-Panel!$B$15)</f>
        <v/>
      </c>
      <c r="E27" s="19">
        <f>D26*(1-Panel!$B$15)</f>
        <v/>
      </c>
      <c r="F27" s="19">
        <f>(F26+E26)*(1-Panel!$B$16)</f>
        <v/>
      </c>
      <c r="G27" s="19">
        <f>C27+D27+E27+F27</f>
        <v/>
      </c>
      <c r="H27" s="19">
        <f>B27*Panel!$B$24+((C27+D27+E27)*Panel!$B$25+F27*Panel!$B$26)/60</f>
        <v/>
      </c>
      <c r="I27" s="29">
        <f>G27*Panel!$B$11-B27*Panel!$B$11*Panel!$B$17/30</f>
        <v/>
      </c>
      <c r="J27" s="29">
        <f>I27*(1-Panel!$B$18)</f>
        <v/>
      </c>
      <c r="K27" s="29">
        <f>J27-G27*Panel!$C$11</f>
        <v/>
      </c>
      <c r="L27" s="29">
        <f>K27-Panel!$B$40</f>
        <v/>
      </c>
      <c r="M27" s="29">
        <f>M26+L27</f>
        <v/>
      </c>
    </row>
    <row r="28">
      <c r="A28" s="20" t="n">
        <v>19</v>
      </c>
      <c r="B28" s="20">
        <f>MAX(0,MIN(ROUND(Panel!$B$27*(1+Panel!$B$28)^(A28-1),0),ROUNDDOWN(MAX(0,Panel!$B$23-((C27+D27+E27)*Panel!$B$25+F27*Panel!$B$26)/60)/Panel!$B$24,0)))</f>
        <v/>
      </c>
      <c r="C28" s="19">
        <f>B28</f>
        <v/>
      </c>
      <c r="D28" s="19">
        <f>C27*(1-Panel!$B$15)</f>
        <v/>
      </c>
      <c r="E28" s="19">
        <f>D27*(1-Panel!$B$15)</f>
        <v/>
      </c>
      <c r="F28" s="19">
        <f>(F27+E27)*(1-Panel!$B$16)</f>
        <v/>
      </c>
      <c r="G28" s="19">
        <f>C28+D28+E28+F28</f>
        <v/>
      </c>
      <c r="H28" s="19">
        <f>B28*Panel!$B$24+((C28+D28+E28)*Panel!$B$25+F28*Panel!$B$26)/60</f>
        <v/>
      </c>
      <c r="I28" s="29">
        <f>G28*Panel!$B$11-B28*Panel!$B$11*Panel!$B$17/30</f>
        <v/>
      </c>
      <c r="J28" s="29">
        <f>I28*(1-Panel!$B$18)</f>
        <v/>
      </c>
      <c r="K28" s="29">
        <f>J28-G28*Panel!$C$11</f>
        <v/>
      </c>
      <c r="L28" s="29">
        <f>K28-Panel!$B$40</f>
        <v/>
      </c>
      <c r="M28" s="29">
        <f>M27+L28</f>
        <v/>
      </c>
    </row>
    <row r="29">
      <c r="A29" s="20" t="n">
        <v>20</v>
      </c>
      <c r="B29" s="20">
        <f>MAX(0,MIN(ROUND(Panel!$B$27*(1+Panel!$B$28)^(A29-1),0),ROUNDDOWN(MAX(0,Panel!$B$23-((C28+D28+E28)*Panel!$B$25+F28*Panel!$B$26)/60)/Panel!$B$24,0)))</f>
        <v/>
      </c>
      <c r="C29" s="19">
        <f>B29</f>
        <v/>
      </c>
      <c r="D29" s="19">
        <f>C28*(1-Panel!$B$15)</f>
        <v/>
      </c>
      <c r="E29" s="19">
        <f>D28*(1-Panel!$B$15)</f>
        <v/>
      </c>
      <c r="F29" s="19">
        <f>(F28+E28)*(1-Panel!$B$16)</f>
        <v/>
      </c>
      <c r="G29" s="19">
        <f>C29+D29+E29+F29</f>
        <v/>
      </c>
      <c r="H29" s="19">
        <f>B29*Panel!$B$24+((C29+D29+E29)*Panel!$B$25+F29*Panel!$B$26)/60</f>
        <v/>
      </c>
      <c r="I29" s="29">
        <f>G29*Panel!$B$11-B29*Panel!$B$11*Panel!$B$17/30</f>
        <v/>
      </c>
      <c r="J29" s="29">
        <f>I29*(1-Panel!$B$18)</f>
        <v/>
      </c>
      <c r="K29" s="29">
        <f>J29-G29*Panel!$C$11</f>
        <v/>
      </c>
      <c r="L29" s="29">
        <f>K29-Panel!$B$40</f>
        <v/>
      </c>
      <c r="M29" s="29">
        <f>M28+L29</f>
        <v/>
      </c>
    </row>
    <row r="30">
      <c r="A30" s="20" t="n">
        <v>21</v>
      </c>
      <c r="B30" s="20">
        <f>MAX(0,MIN(ROUND(Panel!$B$27*(1+Panel!$B$28)^(A30-1),0),ROUNDDOWN(MAX(0,Panel!$B$23-((C29+D29+E29)*Panel!$B$25+F29*Panel!$B$26)/60)/Panel!$B$24,0)))</f>
        <v/>
      </c>
      <c r="C30" s="19">
        <f>B30</f>
        <v/>
      </c>
      <c r="D30" s="19">
        <f>C29*(1-Panel!$B$15)</f>
        <v/>
      </c>
      <c r="E30" s="19">
        <f>D29*(1-Panel!$B$15)</f>
        <v/>
      </c>
      <c r="F30" s="19">
        <f>(F29+E29)*(1-Panel!$B$16)</f>
        <v/>
      </c>
      <c r="G30" s="19">
        <f>C30+D30+E30+F30</f>
        <v/>
      </c>
      <c r="H30" s="19">
        <f>B30*Panel!$B$24+((C30+D30+E30)*Panel!$B$25+F30*Panel!$B$26)/60</f>
        <v/>
      </c>
      <c r="I30" s="29">
        <f>G30*Panel!$B$11-B30*Panel!$B$11*Panel!$B$17/30</f>
        <v/>
      </c>
      <c r="J30" s="29">
        <f>I30*(1-Panel!$B$18)</f>
        <v/>
      </c>
      <c r="K30" s="29">
        <f>J30-G30*Panel!$C$11</f>
        <v/>
      </c>
      <c r="L30" s="29">
        <f>K30-Panel!$B$40</f>
        <v/>
      </c>
      <c r="M30" s="29">
        <f>M29+L30</f>
        <v/>
      </c>
    </row>
    <row r="31">
      <c r="A31" s="20" t="n">
        <v>22</v>
      </c>
      <c r="B31" s="20">
        <f>MAX(0,MIN(ROUND(Panel!$B$27*(1+Panel!$B$28)^(A31-1),0),ROUNDDOWN(MAX(0,Panel!$B$23-((C30+D30+E30)*Panel!$B$25+F30*Panel!$B$26)/60)/Panel!$B$24,0)))</f>
        <v/>
      </c>
      <c r="C31" s="19">
        <f>B31</f>
        <v/>
      </c>
      <c r="D31" s="19">
        <f>C30*(1-Panel!$B$15)</f>
        <v/>
      </c>
      <c r="E31" s="19">
        <f>D30*(1-Panel!$B$15)</f>
        <v/>
      </c>
      <c r="F31" s="19">
        <f>(F30+E30)*(1-Panel!$B$16)</f>
        <v/>
      </c>
      <c r="G31" s="19">
        <f>C31+D31+E31+F31</f>
        <v/>
      </c>
      <c r="H31" s="19">
        <f>B31*Panel!$B$24+((C31+D31+E31)*Panel!$B$25+F31*Panel!$B$26)/60</f>
        <v/>
      </c>
      <c r="I31" s="29">
        <f>G31*Panel!$B$11-B31*Panel!$B$11*Panel!$B$17/30</f>
        <v/>
      </c>
      <c r="J31" s="29">
        <f>I31*(1-Panel!$B$18)</f>
        <v/>
      </c>
      <c r="K31" s="29">
        <f>J31-G31*Panel!$C$11</f>
        <v/>
      </c>
      <c r="L31" s="29">
        <f>K31-Panel!$B$40</f>
        <v/>
      </c>
      <c r="M31" s="29">
        <f>M30+L31</f>
        <v/>
      </c>
    </row>
    <row r="32">
      <c r="A32" s="20" t="n">
        <v>23</v>
      </c>
      <c r="B32" s="20">
        <f>MAX(0,MIN(ROUND(Panel!$B$27*(1+Panel!$B$28)^(A32-1),0),ROUNDDOWN(MAX(0,Panel!$B$23-((C31+D31+E31)*Panel!$B$25+F31*Panel!$B$26)/60)/Panel!$B$24,0)))</f>
        <v/>
      </c>
      <c r="C32" s="19">
        <f>B32</f>
        <v/>
      </c>
      <c r="D32" s="19">
        <f>C31*(1-Panel!$B$15)</f>
        <v/>
      </c>
      <c r="E32" s="19">
        <f>D31*(1-Panel!$B$15)</f>
        <v/>
      </c>
      <c r="F32" s="19">
        <f>(F31+E31)*(1-Panel!$B$16)</f>
        <v/>
      </c>
      <c r="G32" s="19">
        <f>C32+D32+E32+F32</f>
        <v/>
      </c>
      <c r="H32" s="19">
        <f>B32*Panel!$B$24+((C32+D32+E32)*Panel!$B$25+F32*Panel!$B$26)/60</f>
        <v/>
      </c>
      <c r="I32" s="29">
        <f>G32*Panel!$B$11-B32*Panel!$B$11*Panel!$B$17/30</f>
        <v/>
      </c>
      <c r="J32" s="29">
        <f>I32*(1-Panel!$B$18)</f>
        <v/>
      </c>
      <c r="K32" s="29">
        <f>J32-G32*Panel!$C$11</f>
        <v/>
      </c>
      <c r="L32" s="29">
        <f>K32-Panel!$B$40</f>
        <v/>
      </c>
      <c r="M32" s="29">
        <f>M31+L32</f>
        <v/>
      </c>
    </row>
    <row r="33">
      <c r="A33" s="22" t="n">
        <v>24</v>
      </c>
      <c r="B33" s="22">
        <f>MAX(0,MIN(ROUND(Panel!$B$27*(1+Panel!$B$28)^(A33-1),0),ROUNDDOWN(MAX(0,Panel!$B$23-((C32+D32+E32)*Panel!$B$25+F32*Panel!$B$26)/60)/Panel!$B$24,0)))</f>
        <v/>
      </c>
      <c r="C33" s="23">
        <f>B33</f>
        <v/>
      </c>
      <c r="D33" s="23">
        <f>C32*(1-Panel!$B$15)</f>
        <v/>
      </c>
      <c r="E33" s="23">
        <f>D32*(1-Panel!$B$15)</f>
        <v/>
      </c>
      <c r="F33" s="23">
        <f>(F32+E32)*(1-Panel!$B$16)</f>
        <v/>
      </c>
      <c r="G33" s="23">
        <f>C33+D33+E33+F33</f>
        <v/>
      </c>
      <c r="H33" s="23">
        <f>B33*Panel!$B$24+((C33+D33+E33)*Panel!$B$25+F33*Panel!$B$26)/60</f>
        <v/>
      </c>
      <c r="I33" s="30">
        <f>G33*Panel!$B$11-B33*Panel!$B$11*Panel!$B$17/30</f>
        <v/>
      </c>
      <c r="J33" s="30">
        <f>I33*(1-Panel!$B$18)</f>
        <v/>
      </c>
      <c r="K33" s="30">
        <f>J33-G33*Panel!$C$11</f>
        <v/>
      </c>
      <c r="L33" s="30">
        <f>K33-Panel!$B$40</f>
        <v/>
      </c>
      <c r="M33" s="30">
        <f>M32+L33</f>
        <v/>
      </c>
    </row>
    <row r="34">
      <c r="A34" s="20" t="n">
        <v>25</v>
      </c>
      <c r="B34" s="20">
        <f>MAX(0,MIN(ROUND(Panel!$B$27*(1+Panel!$B$28)^(A34-1),0),ROUNDDOWN(MAX(0,Panel!$B$23-((C33+D33+E33)*Panel!$B$25+F33*Panel!$B$26)/60)/Panel!$B$24,0)))</f>
        <v/>
      </c>
      <c r="C34" s="19">
        <f>B34</f>
        <v/>
      </c>
      <c r="D34" s="19">
        <f>C33*(1-Panel!$B$15)</f>
        <v/>
      </c>
      <c r="E34" s="19">
        <f>D33*(1-Panel!$B$15)</f>
        <v/>
      </c>
      <c r="F34" s="19">
        <f>(F33+E33)*(1-Panel!$B$16)</f>
        <v/>
      </c>
      <c r="G34" s="19">
        <f>C34+D34+E34+F34</f>
        <v/>
      </c>
      <c r="H34" s="19">
        <f>B34*Panel!$B$24+((C34+D34+E34)*Panel!$B$25+F34*Panel!$B$26)/60</f>
        <v/>
      </c>
      <c r="I34" s="29">
        <f>G34*Panel!$B$11-B34*Panel!$B$11*Panel!$B$17/30</f>
        <v/>
      </c>
      <c r="J34" s="29">
        <f>I34*(1-Panel!$B$18)</f>
        <v/>
      </c>
      <c r="K34" s="29">
        <f>J34-G34*Panel!$C$11</f>
        <v/>
      </c>
      <c r="L34" s="29">
        <f>K34-Panel!$B$40</f>
        <v/>
      </c>
      <c r="M34" s="29">
        <f>M33+L34</f>
        <v/>
      </c>
    </row>
    <row r="35">
      <c r="A35" s="20" t="n">
        <v>26</v>
      </c>
      <c r="B35" s="20">
        <f>MAX(0,MIN(ROUND(Panel!$B$27*(1+Panel!$B$28)^(A35-1),0),ROUNDDOWN(MAX(0,Panel!$B$23-((C34+D34+E34)*Panel!$B$25+F34*Panel!$B$26)/60)/Panel!$B$24,0)))</f>
        <v/>
      </c>
      <c r="C35" s="19">
        <f>B35</f>
        <v/>
      </c>
      <c r="D35" s="19">
        <f>C34*(1-Panel!$B$15)</f>
        <v/>
      </c>
      <c r="E35" s="19">
        <f>D34*(1-Panel!$B$15)</f>
        <v/>
      </c>
      <c r="F35" s="19">
        <f>(F34+E34)*(1-Panel!$B$16)</f>
        <v/>
      </c>
      <c r="G35" s="19">
        <f>C35+D35+E35+F35</f>
        <v/>
      </c>
      <c r="H35" s="19">
        <f>B35*Panel!$B$24+((C35+D35+E35)*Panel!$B$25+F35*Panel!$B$26)/60</f>
        <v/>
      </c>
      <c r="I35" s="29">
        <f>G35*Panel!$B$11-B35*Panel!$B$11*Panel!$B$17/30</f>
        <v/>
      </c>
      <c r="J35" s="29">
        <f>I35*(1-Panel!$B$18)</f>
        <v/>
      </c>
      <c r="K35" s="29">
        <f>J35-G35*Panel!$C$11</f>
        <v/>
      </c>
      <c r="L35" s="29">
        <f>K35-Panel!$B$40</f>
        <v/>
      </c>
      <c r="M35" s="29">
        <f>M34+L35</f>
        <v/>
      </c>
    </row>
    <row r="36">
      <c r="A36" s="20" t="n">
        <v>27</v>
      </c>
      <c r="B36" s="20">
        <f>MAX(0,MIN(ROUND(Panel!$B$27*(1+Panel!$B$28)^(A36-1),0),ROUNDDOWN(MAX(0,Panel!$B$23-((C35+D35+E35)*Panel!$B$25+F35*Panel!$B$26)/60)/Panel!$B$24,0)))</f>
        <v/>
      </c>
      <c r="C36" s="19">
        <f>B36</f>
        <v/>
      </c>
      <c r="D36" s="19">
        <f>C35*(1-Panel!$B$15)</f>
        <v/>
      </c>
      <c r="E36" s="19">
        <f>D35*(1-Panel!$B$15)</f>
        <v/>
      </c>
      <c r="F36" s="19">
        <f>(F35+E35)*(1-Panel!$B$16)</f>
        <v/>
      </c>
      <c r="G36" s="19">
        <f>C36+D36+E36+F36</f>
        <v/>
      </c>
      <c r="H36" s="19">
        <f>B36*Panel!$B$24+((C36+D36+E36)*Panel!$B$25+F36*Panel!$B$26)/60</f>
        <v/>
      </c>
      <c r="I36" s="29">
        <f>G36*Panel!$B$11-B36*Panel!$B$11*Panel!$B$17/30</f>
        <v/>
      </c>
      <c r="J36" s="29">
        <f>I36*(1-Panel!$B$18)</f>
        <v/>
      </c>
      <c r="K36" s="29">
        <f>J36-G36*Panel!$C$11</f>
        <v/>
      </c>
      <c r="L36" s="29">
        <f>K36-Panel!$B$40</f>
        <v/>
      </c>
      <c r="M36" s="29">
        <f>M35+L36</f>
        <v/>
      </c>
    </row>
    <row r="37">
      <c r="A37" s="20" t="n">
        <v>28</v>
      </c>
      <c r="B37" s="20">
        <f>MAX(0,MIN(ROUND(Panel!$B$27*(1+Panel!$B$28)^(A37-1),0),ROUNDDOWN(MAX(0,Panel!$B$23-((C36+D36+E36)*Panel!$B$25+F36*Panel!$B$26)/60)/Panel!$B$24,0)))</f>
        <v/>
      </c>
      <c r="C37" s="19">
        <f>B37</f>
        <v/>
      </c>
      <c r="D37" s="19">
        <f>C36*(1-Panel!$B$15)</f>
        <v/>
      </c>
      <c r="E37" s="19">
        <f>D36*(1-Panel!$B$15)</f>
        <v/>
      </c>
      <c r="F37" s="19">
        <f>(F36+E36)*(1-Panel!$B$16)</f>
        <v/>
      </c>
      <c r="G37" s="19">
        <f>C37+D37+E37+F37</f>
        <v/>
      </c>
      <c r="H37" s="19">
        <f>B37*Panel!$B$24+((C37+D37+E37)*Panel!$B$25+F37*Panel!$B$26)/60</f>
        <v/>
      </c>
      <c r="I37" s="29">
        <f>G37*Panel!$B$11-B37*Panel!$B$11*Panel!$B$17/30</f>
        <v/>
      </c>
      <c r="J37" s="29">
        <f>I37*(1-Panel!$B$18)</f>
        <v/>
      </c>
      <c r="K37" s="29">
        <f>J37-G37*Panel!$C$11</f>
        <v/>
      </c>
      <c r="L37" s="29">
        <f>K37-Panel!$B$40</f>
        <v/>
      </c>
      <c r="M37" s="29">
        <f>M36+L37</f>
        <v/>
      </c>
    </row>
    <row r="38">
      <c r="A38" s="20" t="n">
        <v>29</v>
      </c>
      <c r="B38" s="20">
        <f>MAX(0,MIN(ROUND(Panel!$B$27*(1+Panel!$B$28)^(A38-1),0),ROUNDDOWN(MAX(0,Panel!$B$23-((C37+D37+E37)*Panel!$B$25+F37*Panel!$B$26)/60)/Panel!$B$24,0)))</f>
        <v/>
      </c>
      <c r="C38" s="19">
        <f>B38</f>
        <v/>
      </c>
      <c r="D38" s="19">
        <f>C37*(1-Panel!$B$15)</f>
        <v/>
      </c>
      <c r="E38" s="19">
        <f>D37*(1-Panel!$B$15)</f>
        <v/>
      </c>
      <c r="F38" s="19">
        <f>(F37+E37)*(1-Panel!$B$16)</f>
        <v/>
      </c>
      <c r="G38" s="19">
        <f>C38+D38+E38+F38</f>
        <v/>
      </c>
      <c r="H38" s="19">
        <f>B38*Panel!$B$24+((C38+D38+E38)*Panel!$B$25+F38*Panel!$B$26)/60</f>
        <v/>
      </c>
      <c r="I38" s="29">
        <f>G38*Panel!$B$11-B38*Panel!$B$11*Panel!$B$17/30</f>
        <v/>
      </c>
      <c r="J38" s="29">
        <f>I38*(1-Panel!$B$18)</f>
        <v/>
      </c>
      <c r="K38" s="29">
        <f>J38-G38*Panel!$C$11</f>
        <v/>
      </c>
      <c r="L38" s="29">
        <f>K38-Panel!$B$40</f>
        <v/>
      </c>
      <c r="M38" s="29">
        <f>M37+L38</f>
        <v/>
      </c>
    </row>
    <row r="39">
      <c r="A39" s="20" t="n">
        <v>30</v>
      </c>
      <c r="B39" s="20">
        <f>MAX(0,MIN(ROUND(Panel!$B$27*(1+Panel!$B$28)^(A39-1),0),ROUNDDOWN(MAX(0,Panel!$B$23-((C38+D38+E38)*Panel!$B$25+F38*Panel!$B$26)/60)/Panel!$B$24,0)))</f>
        <v/>
      </c>
      <c r="C39" s="19">
        <f>B39</f>
        <v/>
      </c>
      <c r="D39" s="19">
        <f>C38*(1-Panel!$B$15)</f>
        <v/>
      </c>
      <c r="E39" s="19">
        <f>D38*(1-Panel!$B$15)</f>
        <v/>
      </c>
      <c r="F39" s="19">
        <f>(F38+E38)*(1-Panel!$B$16)</f>
        <v/>
      </c>
      <c r="G39" s="19">
        <f>C39+D39+E39+F39</f>
        <v/>
      </c>
      <c r="H39" s="19">
        <f>B39*Panel!$B$24+((C39+D39+E39)*Panel!$B$25+F39*Panel!$B$26)/60</f>
        <v/>
      </c>
      <c r="I39" s="29">
        <f>G39*Panel!$B$11-B39*Panel!$B$11*Panel!$B$17/30</f>
        <v/>
      </c>
      <c r="J39" s="29">
        <f>I39*(1-Panel!$B$18)</f>
        <v/>
      </c>
      <c r="K39" s="29">
        <f>J39-G39*Panel!$C$11</f>
        <v/>
      </c>
      <c r="L39" s="29">
        <f>K39-Panel!$B$40</f>
        <v/>
      </c>
      <c r="M39" s="29">
        <f>M38+L39</f>
        <v/>
      </c>
    </row>
    <row r="40">
      <c r="A40" s="20" t="n">
        <v>31</v>
      </c>
      <c r="B40" s="20">
        <f>MAX(0,MIN(ROUND(Panel!$B$27*(1+Panel!$B$28)^(A40-1),0),ROUNDDOWN(MAX(0,Panel!$B$23-((C39+D39+E39)*Panel!$B$25+F39*Panel!$B$26)/60)/Panel!$B$24,0)))</f>
        <v/>
      </c>
      <c r="C40" s="19">
        <f>B40</f>
        <v/>
      </c>
      <c r="D40" s="19">
        <f>C39*(1-Panel!$B$15)</f>
        <v/>
      </c>
      <c r="E40" s="19">
        <f>D39*(1-Panel!$B$15)</f>
        <v/>
      </c>
      <c r="F40" s="19">
        <f>(F39+E39)*(1-Panel!$B$16)</f>
        <v/>
      </c>
      <c r="G40" s="19">
        <f>C40+D40+E40+F40</f>
        <v/>
      </c>
      <c r="H40" s="19">
        <f>B40*Panel!$B$24+((C40+D40+E40)*Panel!$B$25+F40*Panel!$B$26)/60</f>
        <v/>
      </c>
      <c r="I40" s="29">
        <f>G40*Panel!$B$11-B40*Panel!$B$11*Panel!$B$17/30</f>
        <v/>
      </c>
      <c r="J40" s="29">
        <f>I40*(1-Panel!$B$18)</f>
        <v/>
      </c>
      <c r="K40" s="29">
        <f>J40-G40*Panel!$C$11</f>
        <v/>
      </c>
      <c r="L40" s="29">
        <f>K40-Panel!$B$40</f>
        <v/>
      </c>
      <c r="M40" s="29">
        <f>M39+L40</f>
        <v/>
      </c>
    </row>
    <row r="41">
      <c r="A41" s="20" t="n">
        <v>32</v>
      </c>
      <c r="B41" s="20">
        <f>MAX(0,MIN(ROUND(Panel!$B$27*(1+Panel!$B$28)^(A41-1),0),ROUNDDOWN(MAX(0,Panel!$B$23-((C40+D40+E40)*Panel!$B$25+F40*Panel!$B$26)/60)/Panel!$B$24,0)))</f>
        <v/>
      </c>
      <c r="C41" s="19">
        <f>B41</f>
        <v/>
      </c>
      <c r="D41" s="19">
        <f>C40*(1-Panel!$B$15)</f>
        <v/>
      </c>
      <c r="E41" s="19">
        <f>D40*(1-Panel!$B$15)</f>
        <v/>
      </c>
      <c r="F41" s="19">
        <f>(F40+E40)*(1-Panel!$B$16)</f>
        <v/>
      </c>
      <c r="G41" s="19">
        <f>C41+D41+E41+F41</f>
        <v/>
      </c>
      <c r="H41" s="19">
        <f>B41*Panel!$B$24+((C41+D41+E41)*Panel!$B$25+F41*Panel!$B$26)/60</f>
        <v/>
      </c>
      <c r="I41" s="29">
        <f>G41*Panel!$B$11-B41*Panel!$B$11*Panel!$B$17/30</f>
        <v/>
      </c>
      <c r="J41" s="29">
        <f>I41*(1-Panel!$B$18)</f>
        <v/>
      </c>
      <c r="K41" s="29">
        <f>J41-G41*Panel!$C$11</f>
        <v/>
      </c>
      <c r="L41" s="29">
        <f>K41-Panel!$B$40</f>
        <v/>
      </c>
      <c r="M41" s="29">
        <f>M40+L41</f>
        <v/>
      </c>
    </row>
    <row r="42">
      <c r="A42" s="20" t="n">
        <v>33</v>
      </c>
      <c r="B42" s="20">
        <f>MAX(0,MIN(ROUND(Panel!$B$27*(1+Panel!$B$28)^(A42-1),0),ROUNDDOWN(MAX(0,Panel!$B$23-((C41+D41+E41)*Panel!$B$25+F41*Panel!$B$26)/60)/Panel!$B$24,0)))</f>
        <v/>
      </c>
      <c r="C42" s="19">
        <f>B42</f>
        <v/>
      </c>
      <c r="D42" s="19">
        <f>C41*(1-Panel!$B$15)</f>
        <v/>
      </c>
      <c r="E42" s="19">
        <f>D41*(1-Panel!$B$15)</f>
        <v/>
      </c>
      <c r="F42" s="19">
        <f>(F41+E41)*(1-Panel!$B$16)</f>
        <v/>
      </c>
      <c r="G42" s="19">
        <f>C42+D42+E42+F42</f>
        <v/>
      </c>
      <c r="H42" s="19">
        <f>B42*Panel!$B$24+((C42+D42+E42)*Panel!$B$25+F42*Panel!$B$26)/60</f>
        <v/>
      </c>
      <c r="I42" s="29">
        <f>G42*Panel!$B$11-B42*Panel!$B$11*Panel!$B$17/30</f>
        <v/>
      </c>
      <c r="J42" s="29">
        <f>I42*(1-Panel!$B$18)</f>
        <v/>
      </c>
      <c r="K42" s="29">
        <f>J42-G42*Panel!$C$11</f>
        <v/>
      </c>
      <c r="L42" s="29">
        <f>K42-Panel!$B$40</f>
        <v/>
      </c>
      <c r="M42" s="29">
        <f>M41+L42</f>
        <v/>
      </c>
    </row>
    <row r="43">
      <c r="A43" s="20" t="n">
        <v>34</v>
      </c>
      <c r="B43" s="20">
        <f>MAX(0,MIN(ROUND(Panel!$B$27*(1+Panel!$B$28)^(A43-1),0),ROUNDDOWN(MAX(0,Panel!$B$23-((C42+D42+E42)*Panel!$B$25+F42*Panel!$B$26)/60)/Panel!$B$24,0)))</f>
        <v/>
      </c>
      <c r="C43" s="19">
        <f>B43</f>
        <v/>
      </c>
      <c r="D43" s="19">
        <f>C42*(1-Panel!$B$15)</f>
        <v/>
      </c>
      <c r="E43" s="19">
        <f>D42*(1-Panel!$B$15)</f>
        <v/>
      </c>
      <c r="F43" s="19">
        <f>(F42+E42)*(1-Panel!$B$16)</f>
        <v/>
      </c>
      <c r="G43" s="19">
        <f>C43+D43+E43+F43</f>
        <v/>
      </c>
      <c r="H43" s="19">
        <f>B43*Panel!$B$24+((C43+D43+E43)*Panel!$B$25+F43*Panel!$B$26)/60</f>
        <v/>
      </c>
      <c r="I43" s="29">
        <f>G43*Panel!$B$11-B43*Panel!$B$11*Panel!$B$17/30</f>
        <v/>
      </c>
      <c r="J43" s="29">
        <f>I43*(1-Panel!$B$18)</f>
        <v/>
      </c>
      <c r="K43" s="29">
        <f>J43-G43*Panel!$C$11</f>
        <v/>
      </c>
      <c r="L43" s="29">
        <f>K43-Panel!$B$40</f>
        <v/>
      </c>
      <c r="M43" s="29">
        <f>M42+L43</f>
        <v/>
      </c>
    </row>
    <row r="44">
      <c r="A44" s="20" t="n">
        <v>35</v>
      </c>
      <c r="B44" s="20">
        <f>MAX(0,MIN(ROUND(Panel!$B$27*(1+Panel!$B$28)^(A44-1),0),ROUNDDOWN(MAX(0,Panel!$B$23-((C43+D43+E43)*Panel!$B$25+F43*Panel!$B$26)/60)/Panel!$B$24,0)))</f>
        <v/>
      </c>
      <c r="C44" s="19">
        <f>B44</f>
        <v/>
      </c>
      <c r="D44" s="19">
        <f>C43*(1-Panel!$B$15)</f>
        <v/>
      </c>
      <c r="E44" s="19">
        <f>D43*(1-Panel!$B$15)</f>
        <v/>
      </c>
      <c r="F44" s="19">
        <f>(F43+E43)*(1-Panel!$B$16)</f>
        <v/>
      </c>
      <c r="G44" s="19">
        <f>C44+D44+E44+F44</f>
        <v/>
      </c>
      <c r="H44" s="19">
        <f>B44*Panel!$B$24+((C44+D44+E44)*Panel!$B$25+F44*Panel!$B$26)/60</f>
        <v/>
      </c>
      <c r="I44" s="29">
        <f>G44*Panel!$B$11-B44*Panel!$B$11*Panel!$B$17/30</f>
        <v/>
      </c>
      <c r="J44" s="29">
        <f>I44*(1-Panel!$B$18)</f>
        <v/>
      </c>
      <c r="K44" s="29">
        <f>J44-G44*Panel!$C$11</f>
        <v/>
      </c>
      <c r="L44" s="29">
        <f>K44-Panel!$B$40</f>
        <v/>
      </c>
      <c r="M44" s="29">
        <f>M43+L44</f>
        <v/>
      </c>
    </row>
    <row r="45">
      <c r="A45" s="22" t="n">
        <v>36</v>
      </c>
      <c r="B45" s="22">
        <f>MAX(0,MIN(ROUND(Panel!$B$27*(1+Panel!$B$28)^(A45-1),0),ROUNDDOWN(MAX(0,Panel!$B$23-((C44+D44+E44)*Panel!$B$25+F44*Panel!$B$26)/60)/Panel!$B$24,0)))</f>
        <v/>
      </c>
      <c r="C45" s="23">
        <f>B45</f>
        <v/>
      </c>
      <c r="D45" s="23">
        <f>C44*(1-Panel!$B$15)</f>
        <v/>
      </c>
      <c r="E45" s="23">
        <f>D44*(1-Panel!$B$15)</f>
        <v/>
      </c>
      <c r="F45" s="23">
        <f>(F44+E44)*(1-Panel!$B$16)</f>
        <v/>
      </c>
      <c r="G45" s="23">
        <f>C45+D45+E45+F45</f>
        <v/>
      </c>
      <c r="H45" s="23">
        <f>B45*Panel!$B$24+((C45+D45+E45)*Panel!$B$25+F45*Panel!$B$26)/60</f>
        <v/>
      </c>
      <c r="I45" s="30">
        <f>G45*Panel!$B$11-B45*Panel!$B$11*Panel!$B$17/30</f>
        <v/>
      </c>
      <c r="J45" s="30">
        <f>I45*(1-Panel!$B$18)</f>
        <v/>
      </c>
      <c r="K45" s="30">
        <f>J45-G45*Panel!$C$11</f>
        <v/>
      </c>
      <c r="L45" s="30">
        <f>K45-Panel!$B$40</f>
        <v/>
      </c>
      <c r="M45" s="30">
        <f>M44+L45</f>
        <v/>
      </c>
    </row>
    <row r="47" ht="28" customHeight="1">
      <c r="A47" s="26" t="inlineStr">
        <is>
          <t>«Horas usadas» en rojo significa que ese mes no te dio la vida: o recortas altas, o alguien mas atiende. «Mes 1/2/3» son las cuentas por edad; «Asentadas», las que pasaron de tres meses. El salto de la caja en el mes del equilibrio no es magia: es que la cartera ya paga tu retirada.</t>
        </is>
      </c>
    </row>
    <row r="48"/>
  </sheetData>
  <mergeCells count="2">
    <mergeCell ref="A47:I48"/>
    <mergeCell ref="A2:I4"/>
  </mergeCells>
  <conditionalFormatting sqref="L10:M45">
    <cfRule type="cellIs" priority="1" operator="lessThan" dxfId="3">
      <formula>0</formula>
    </cfRule>
    <cfRule type="cellIs" priority="2" operator="greaterThanOrEqual" dxfId="2">
      <formula>0</formula>
    </cfRule>
  </conditionalFormatting>
  <conditionalFormatting sqref="H10:H45">
    <cfRule type="cellIs" priority="3" operator="greaterThan" dxfId="0">
      <formula>$E$8</formula>
    </cfRule>
  </conditionalFormatting>
  <pageMargins left="0.75" right="0.75" top="1" bottom="1" header="0.5" footer="0.5"/>
</worksheet>
</file>

<file path=xl/worksheets/sheet4.xml><?xml version="1.0" encoding="utf-8"?>
<worksheet xmlns="http://schemas.openxmlformats.org/spreadsheetml/2006/main">
  <sheetPr>
    <tabColor rgb="FF2E8B74"/>
    <outlinePr summaryBelow="1" summaryRight="1"/>
    <pageSetUpPr/>
  </sheetPr>
  <dimension ref="A1:I21"/>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0" customWidth="1" min="5" max="5"/>
    <col width="46" customWidth="1" min="6" max="6"/>
  </cols>
  <sheetData>
    <row r="1">
      <c r="A1" s="1" t="inlineStr">
        <is>
          <t>Tres futuros, y cual de ellos aguanta</t>
        </is>
      </c>
    </row>
    <row r="2" ht="42" customHeight="1">
      <c r="A2" s="2" t="inlineStr">
        <is>
          <t>Mismos costes por cuenta, distinta velocidad y distinta suerte con las bajas. Para usar uno, copia sus valores al Panel: el libro entero se recalcula. No hay selector automatico a proposito, para que quede por escrito que escenario estas mirando.</t>
        </is>
      </c>
    </row>
    <row r="3"/>
    <row r="4"/>
    <row r="6" ht="30" customHeight="1">
      <c r="A6" s="4" t="inlineStr">
        <is>
          <t>Palanca</t>
        </is>
      </c>
      <c r="B6" s="4" t="inlineStr">
        <is>
          <t>Prudente</t>
        </is>
      </c>
      <c r="C6" s="4" t="inlineStr">
        <is>
          <t>Base</t>
        </is>
      </c>
      <c r="D6" s="4" t="inlineStr">
        <is>
          <t>Optimista</t>
        </is>
      </c>
      <c r="E6" s="4" t="inlineStr"/>
      <c r="F6" s="4" t="inlineStr">
        <is>
          <t>Por que ese valor</t>
        </is>
      </c>
    </row>
    <row r="7">
      <c r="A7" s="5" t="inlineStr">
        <is>
          <t>Altas objetivo al mes</t>
        </is>
      </c>
      <c r="B7" s="20" t="n">
        <v>3</v>
      </c>
      <c r="C7" s="20" t="n">
        <v>5</v>
      </c>
      <c r="D7" s="20" t="n">
        <v>8</v>
      </c>
      <c r="E7" s="5" t="n"/>
      <c r="F7" s="5" t="inlineStr">
        <is>
          <t>El piloto comprometido son 3-5 negocios. Ocho al mes exige prescriptores funcionando.</t>
        </is>
      </c>
    </row>
    <row r="8">
      <c r="A8" s="5" t="inlineStr">
        <is>
          <t>Crecimiento mensual del objetivo</t>
        </is>
      </c>
      <c r="B8" s="21" t="n">
        <v>0.02</v>
      </c>
      <c r="C8" s="21" t="n">
        <v>0.05</v>
      </c>
      <c r="D8" s="21" t="n">
        <v>0.1</v>
      </c>
      <c r="E8" s="5" t="n"/>
      <c r="F8" s="5" t="inlineStr">
        <is>
          <t>Sin presupuesto de ads, el crecimiento es boca a boca.</t>
        </is>
      </c>
    </row>
    <row r="9">
      <c r="A9" s="5" t="inlineStr">
        <is>
          <t>Bajas los tres primeros meses</t>
        </is>
      </c>
      <c r="B9" s="21" t="n">
        <v>0.12</v>
      </c>
      <c r="C9" s="21" t="n">
        <v>0.08</v>
      </c>
      <c r="D9" s="21" t="n">
        <v>0.05</v>
      </c>
      <c r="E9" s="5" t="n"/>
      <c r="F9" s="5" t="inlineStr">
        <is>
          <t>Cuanto peor sea el arranque, mas se va la gente pronto.</t>
        </is>
      </c>
    </row>
    <row r="10">
      <c r="A10" s="5" t="inlineStr">
        <is>
          <t>Bajas despues</t>
        </is>
      </c>
      <c r="B10" s="21" t="n">
        <v>0.06</v>
      </c>
      <c r="C10" s="21" t="n">
        <v>0.04</v>
      </c>
      <c r="D10" s="21" t="n">
        <v>0.02</v>
      </c>
      <c r="E10" s="5" t="n"/>
      <c r="F10" s="5" t="inlineStr">
        <is>
          <t>Un producto que ya esta en la rutina del negocio retiene.</t>
        </is>
      </c>
    </row>
    <row r="11">
      <c r="A11" s="5" t="inlineStr">
        <is>
          <t>Horas al mes para vender y atender</t>
        </is>
      </c>
      <c r="B11" s="20" t="n">
        <v>40</v>
      </c>
      <c r="C11" s="20" t="n">
        <v>60</v>
      </c>
      <c r="D11" s="20" t="n">
        <v>90</v>
      </c>
      <c r="E11" s="5" t="n"/>
      <c r="F11" s="5" t="inlineStr">
        <is>
          <t>Depende de cuanto producto tengas que seguir construyendo.</t>
        </is>
      </c>
    </row>
    <row r="12">
      <c r="A12" s="5" t="inlineStr">
        <is>
          <t>Minutos de soporte, cuenta nueva</t>
        </is>
      </c>
      <c r="B12" s="20" t="n">
        <v>45</v>
      </c>
      <c r="C12" s="20" t="n">
        <v>30</v>
      </c>
      <c r="D12" s="20" t="n">
        <v>20</v>
      </c>
      <c r="E12" s="5" t="n"/>
      <c r="F12" s="5" t="inlineStr">
        <is>
          <t>Baja si el producto se explica solo.</t>
        </is>
      </c>
    </row>
    <row r="13">
      <c r="A13" s="5" t="inlineStr">
        <is>
          <t>Retirada mensual del founder</t>
        </is>
      </c>
      <c r="B13" s="29" t="n">
        <v>1500</v>
      </c>
      <c r="C13" s="29" t="n">
        <v>1200</v>
      </c>
      <c r="D13" s="29" t="n">
        <v>1200</v>
      </c>
      <c r="E13" s="5" t="n"/>
      <c r="F13" s="5" t="inlineStr">
        <is>
          <t>Lo prudente no es cobrar menos: es necesitar mas caja.</t>
        </is>
      </c>
    </row>
    <row r="15" ht="28" customHeight="1">
      <c r="A15" s="26" t="inlineStr">
        <is>
          <t>El escenario prudente no es pesimismo: es el que hay que poder aguantar. Si solo sobrevives en el optimista, el plan no es un plan.</t>
        </is>
      </c>
    </row>
    <row r="16"/>
    <row r="18" ht="30" customHeight="1">
      <c r="A18" s="4" t="inlineStr">
        <is>
          <t>Lo que decide cada escenario</t>
        </is>
      </c>
      <c r="B18" s="4" t="inlineStr"/>
      <c r="C18" s="4" t="inlineStr"/>
      <c r="D18" s="4" t="inlineStr"/>
      <c r="E18" s="4" t="inlineStr"/>
      <c r="F18" s="4" t="inlineStr"/>
    </row>
    <row r="19" ht="30" customHeight="1">
      <c r="A19" s="5" t="inlineStr">
        <is>
          <t>Si las bajas son del 12 % al principio</t>
        </is>
      </c>
      <c r="B19" s="31" t="inlineStr">
        <is>
          <t>La cartera se vacia casi tan rapido como entra: cada alta cuesta tres horas tuyas y dura poco mas de ocho meses.</t>
        </is>
      </c>
      <c r="C19" s="32" t="n"/>
      <c r="D19" s="32" t="n"/>
      <c r="E19" s="32" t="n"/>
      <c r="F19" s="33" t="n"/>
    </row>
    <row r="20" ht="30" customHeight="1">
      <c r="A20" s="5" t="inlineStr">
        <is>
          <t>Si solo tienes 40 horas al mes</t>
        </is>
      </c>
      <c r="B20" s="31" t="inlineStr">
        <is>
          <t>El soporte alcanza tus horas mucho antes y el crecimiento se para sin que el mercado tenga nada que ver.</t>
        </is>
      </c>
      <c r="C20" s="32" t="n"/>
      <c r="D20" s="32" t="n"/>
      <c r="E20" s="32" t="n"/>
      <c r="F20" s="33" t="n"/>
    </row>
    <row r="21" ht="30" customHeight="1">
      <c r="A21" s="5" t="inlineStr">
        <is>
          <t>Si el soporte baja de 30 a 20 minutos</t>
        </is>
      </c>
      <c r="B21" s="31" t="inlineStr">
        <is>
          <t>Es la palanca que mas cuentas te regala sin vender ni una mas. Ahi es donde paga el cerebro local.</t>
        </is>
      </c>
      <c r="C21" s="32" t="n"/>
      <c r="D21" s="32" t="n"/>
      <c r="E21" s="32" t="n"/>
      <c r="F21" s="33" t="n"/>
    </row>
  </sheetData>
  <mergeCells count="5">
    <mergeCell ref="B21:F21"/>
    <mergeCell ref="A15:I16"/>
    <mergeCell ref="B20:F20"/>
    <mergeCell ref="B19:F19"/>
    <mergeCell ref="A2:I4"/>
  </mergeCells>
  <pageMargins left="0.75" right="0.75" top="1" bottom="1" header="0.5" footer="0.5"/>
</worksheet>
</file>

<file path=xl/worksheets/sheet5.xml><?xml version="1.0" encoding="utf-8"?>
<worksheet xmlns="http://schemas.openxmlformats.org/spreadsheetml/2006/main">
  <sheetPr>
    <tabColor rgb="FF2E8B74"/>
    <outlinePr summaryBelow="1" summaryRight="1"/>
    <pageSetUpPr/>
  </sheetPr>
  <dimension ref="A1:I23"/>
  <sheetViews>
    <sheetView showGridLines="0" workbookViewId="0">
      <selection activeCell="A1" sqref="A1"/>
    </sheetView>
  </sheetViews>
  <sheetFormatPr baseColWidth="8" defaultRowHeight="15"/>
  <cols>
    <col width="40" customWidth="1" min="1" max="1"/>
    <col width="18" customWidth="1" min="2" max="2"/>
    <col width="16" customWidth="1" min="3" max="3"/>
    <col width="66" customWidth="1" min="4" max="4"/>
  </cols>
  <sheetData>
    <row r="1">
      <c r="A1" s="1" t="inlineStr">
        <is>
          <t>Que cifra es un dato y cual es una suposicion</t>
        </is>
      </c>
    </row>
    <row r="2" ht="42" customHeight="1">
      <c r="A2" s="2" t="inlineStr">
        <is>
          <t>Con cero clientes de pago, casi todo este libro es una hipotesis. Separarlo es lo unico que impide confundir un escenario con una prevision. En rojo, lo que no esta medido y mas mueve el resultado.</t>
        </is>
      </c>
    </row>
    <row r="3"/>
    <row r="4"/>
    <row r="6" ht="30" customHeight="1">
      <c r="A6" s="4" t="inlineStr">
        <is>
          <t>Cifra</t>
        </is>
      </c>
      <c r="B6" s="4" t="inlineStr">
        <is>
          <t>Valor</t>
        </is>
      </c>
      <c r="C6" s="4" t="inlineStr">
        <is>
          <t>Estado</t>
        </is>
      </c>
      <c r="D6" s="4" t="inlineStr">
        <is>
          <t>Origen o por que falta</t>
        </is>
      </c>
    </row>
    <row r="7" ht="30" customHeight="1">
      <c r="A7" s="5" t="inlineStr">
        <is>
          <t>Precios 29 / 49 / 99</t>
        </is>
      </c>
      <c r="B7" s="5" t="inlineStr">
        <is>
          <t>Adoptado</t>
        </is>
      </c>
      <c r="C7" s="5" t="inlineStr">
        <is>
          <t>DATO</t>
        </is>
      </c>
      <c r="D7" s="31" t="inlineStr">
        <is>
          <t>Decision del 15/07/2026, y coincide con el catalogo del codigo.</t>
        </is>
      </c>
    </row>
    <row r="8" ht="30" customHeight="1">
      <c r="A8" s="5" t="inlineStr">
        <is>
          <t>Coste de software por cuenta</t>
        </is>
      </c>
      <c r="B8" s="5" t="inlineStr">
        <is>
          <t>1,48 / 3,04 / 18,47</t>
        </is>
      </c>
      <c r="C8" s="5" t="inlineStr">
        <is>
          <t>CALCULADO</t>
        </is>
      </c>
      <c r="D8" s="31" t="inlineStr">
        <is>
          <t>Analisis del 15/07/2026 sobre tarifas publicadas de Stripe, Meta, Anthropic, Groq y Railway.</t>
        </is>
      </c>
    </row>
    <row r="9" ht="30" customHeight="1">
      <c r="A9" s="5" t="inlineStr">
        <is>
          <t>Plataforma fija por cuenta</t>
        </is>
      </c>
      <c r="B9" s="5" t="inlineStr">
        <is>
          <t>0,07 EUR</t>
        </is>
      </c>
      <c r="C9" s="5" t="inlineStr">
        <is>
          <t>CALCULADO</t>
        </is>
      </c>
      <c r="D9" s="31" t="inlineStr">
        <is>
          <t>7 EUR/mes repartidos entre 100 cuentas, segun el libro editado el 17/09/2026.</t>
        </is>
      </c>
    </row>
    <row r="10" ht="30" customHeight="1">
      <c r="A10" s="34" t="inlineStr">
        <is>
          <t>Mezcla 55 / 35 / 10</t>
        </is>
      </c>
      <c r="B10" s="34" t="inlineStr">
        <is>
          <t>Supuesto</t>
        </is>
      </c>
      <c r="C10" s="34" t="inlineStr">
        <is>
          <t>SIN MEDIR</t>
        </is>
      </c>
      <c r="D10" s="35" t="inlineStr">
        <is>
          <t>Nadie ha comprado todavia: el reparto real puede ser cualquiera.</t>
        </is>
      </c>
    </row>
    <row r="11" ht="30" customHeight="1">
      <c r="A11" s="34" t="inlineStr">
        <is>
          <t>Bajas mensuales</t>
        </is>
      </c>
      <c r="B11" s="34" t="inlineStr">
        <is>
          <t>8 % y 4 %</t>
        </is>
      </c>
      <c r="C11" s="34" t="inlineStr">
        <is>
          <t>SIN MEDIR</t>
        </is>
      </c>
      <c r="D11" s="35" t="inlineStr">
        <is>
          <t>No hay clientes de pago. Es la cifra que mas mueve el modelo.</t>
        </is>
      </c>
    </row>
    <row r="12" ht="30" customHeight="1">
      <c r="A12" s="34" t="inlineStr">
        <is>
          <t>Horas disponibles al mes</t>
        </is>
      </c>
      <c r="B12" s="34" t="inlineStr">
        <is>
          <t>60</t>
        </is>
      </c>
      <c r="C12" s="34" t="inlineStr">
        <is>
          <t>SIN MEDIR</t>
        </is>
      </c>
      <c r="D12" s="35" t="inlineStr">
        <is>
          <t>Depende de cuanto producto sigas construyendo tu.</t>
        </is>
      </c>
    </row>
    <row r="13" ht="30" customHeight="1">
      <c r="A13" s="34" t="inlineStr">
        <is>
          <t>Horas por alta</t>
        </is>
      </c>
      <c r="B13" s="34" t="inlineStr">
        <is>
          <t>3</t>
        </is>
      </c>
      <c r="C13" s="34" t="inlineStr">
        <is>
          <t>SIN MEDIR</t>
        </is>
      </c>
      <c r="D13" s="35" t="inlineStr">
        <is>
          <t>El analisis cifra el onboarding en 30-120 minutos; vender no esta medido.</t>
        </is>
      </c>
    </row>
    <row r="14" ht="30" customHeight="1">
      <c r="A14" s="34" t="inlineStr">
        <is>
          <t>Minutos de soporte</t>
        </is>
      </c>
      <c r="B14" s="34" t="inlineStr">
        <is>
          <t>30 y 12</t>
        </is>
      </c>
      <c r="C14" s="34" t="inlineStr">
        <is>
          <t>SIN MEDIR</t>
        </is>
      </c>
      <c r="D14" s="35" t="inlineStr">
        <is>
          <t>Los 12 minutos salen del analisis; los 30 de cuenta nueva son una suposicion.</t>
        </is>
      </c>
    </row>
    <row r="15" ht="30" customHeight="1">
      <c r="A15" s="34" t="inlineStr">
        <is>
          <t>Recibos no cobrados</t>
        </is>
      </c>
      <c r="B15" s="34" t="inlineStr">
        <is>
          <t>3 %</t>
        </is>
      </c>
      <c r="C15" s="34" t="inlineStr">
        <is>
          <t>SIN MEDIR</t>
        </is>
      </c>
      <c r="D15" s="35" t="inlineStr">
        <is>
          <t>Se sabra con la primera remesa real de Stripe.</t>
        </is>
      </c>
    </row>
    <row r="16" ht="30" customHeight="1">
      <c r="A16" s="36" t="inlineStr">
        <is>
          <t>Estructura mensual</t>
        </is>
      </c>
      <c r="B16" s="36" t="inlineStr">
        <is>
          <t>160 EUR</t>
        </is>
      </c>
      <c r="C16" s="36" t="inlineStr">
        <is>
          <t>PENDIENTE</t>
        </is>
      </c>
      <c r="D16" s="37" t="inlineStr">
        <is>
          <t>Servidores, herramientas, gestoria y seguro: faltan las facturas reales, como recoge la hoja de datos pendientes del libro anterior.</t>
        </is>
      </c>
    </row>
    <row r="17" ht="30" customHeight="1">
      <c r="A17" s="36" t="inlineStr">
        <is>
          <t>Cuota de autonomos</t>
        </is>
      </c>
      <c r="B17" s="36" t="inlineStr">
        <is>
          <t>300 EUR</t>
        </is>
      </c>
      <c r="C17" s="36" t="inlineStr">
        <is>
          <t>PENDIENTE</t>
        </is>
      </c>
      <c r="D17" s="37" t="inlineStr">
        <is>
          <t>Depende de tarifa plana y de la forma juridica, sin decidir.</t>
        </is>
      </c>
    </row>
    <row r="18" ht="30" customHeight="1">
      <c r="A18" s="5" t="inlineStr">
        <is>
          <t>Retirada del founder</t>
        </is>
      </c>
      <c r="B18" s="5" t="inlineStr">
        <is>
          <t>1.200 EUR</t>
        </is>
      </c>
      <c r="C18" s="5" t="inlineStr">
        <is>
          <t>DECISION</t>
        </is>
      </c>
      <c r="D18" s="31" t="inlineStr">
        <is>
          <t>No es un dato ni un supuesto: es lo que decidas cobrar.</t>
        </is>
      </c>
    </row>
    <row r="19" ht="30" customHeight="1">
      <c r="A19" s="36" t="inlineStr">
        <is>
          <t>Caja inicial</t>
        </is>
      </c>
      <c r="B19" s="36" t="inlineStr">
        <is>
          <t>4.000 EUR</t>
        </is>
      </c>
      <c r="C19" s="36" t="inlineStr">
        <is>
          <t>PENDIENTE</t>
        </is>
      </c>
      <c r="D19" s="37" t="inlineStr">
        <is>
          <t>El vault cita esa cifra inicial; falta confirmarla.</t>
        </is>
      </c>
    </row>
    <row r="20" ht="30" customHeight="1">
      <c r="A20" s="5" t="inlineStr">
        <is>
          <t>Clientes de pago hoy</t>
        </is>
      </c>
      <c r="B20" s="5" t="inlineStr">
        <is>
          <t>0</t>
        </is>
      </c>
      <c r="C20" s="5" t="inlineStr">
        <is>
          <t>DATO</t>
        </is>
      </c>
      <c r="D20" s="31" t="inlineStr">
        <is>
          <t>Por eso este libro es prospectivo y lo dice en la primera hoja.</t>
        </is>
      </c>
    </row>
    <row r="22" ht="28" customHeight="1">
      <c r="A22" s="26" t="inlineStr">
        <is>
          <t>Lo que convierte esto en un modelo y no en un escenario: tres a cinco clientes de pago y treinta dias midiendo bajas, minutos de soporte por cuenta y cuantas horas te cuesta cerrar una venta. Con esas tres cifras medidas, las demas dejan de importar tanto.</t>
        </is>
      </c>
    </row>
    <row r="23"/>
  </sheetData>
  <mergeCells count="2">
    <mergeCell ref="A22:I23"/>
    <mergeCell ref="A2: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2026-09-17T14:29:19Z</dcterms:created>
  <dcterms:modified xmlns:dcterms="http://purl.org/dc/terms/" xmlns:xsi="http://www.w3.org/2001/XMLSchema-instance" xsi:type="dcterms:W3CDTF">2026-09-17T14:29:19Z</dcterms:modified>
</cp:coreProperties>
</file>