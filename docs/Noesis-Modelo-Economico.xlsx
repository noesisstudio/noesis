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alculadora" sheetId="2" state="visible" r:id="rId2"/>
    <sheet name="Supuestos" sheetId="3" state="visible" r:id="rId3"/>
    <sheet name="Unit_Economics" sheetId="4" state="visible" r:id="rId4"/>
    <sheet name="Hipotesis_Externa" sheetId="5" state="visible" r:id="rId5"/>
    <sheet name="Comparador" sheetId="6" state="visible" r:id="rId6"/>
    <sheet name="Anual_vs_Mensual" sheetId="7" state="visible" r:id="rId7"/>
    <sheet name="Escala_Breakeven" sheetId="8" state="visible" r:id="rId8"/>
    <sheet name="Ads_Captacion" sheetId="9" state="visible" r:id="rId9"/>
    <sheet name="Escenarios" sheetId="10" state="visible" r:id="rId10"/>
    <sheet name="PyG_Proyeccion" sheetId="11" state="visible" r:id="rId11"/>
    <sheet name="Sensibilidad" sheetId="12" state="visible" r:id="rId12"/>
    <sheet name="Capacidad_Soporte" sheetId="13" state="visible" r:id="rId13"/>
    <sheet name="KPIs_Piloto" sheetId="14" state="visible" r:id="rId14"/>
    <sheet name="Opciones_IA" sheetId="15" state="visible" r:id="rId15"/>
    <sheet name="Datos_Pendientes" sheetId="16" state="visible" r:id="rId16"/>
    <sheet name="Fuentes" sheetId="17" state="visible" r:id="rId17"/>
  </sheets>
  <definedNames/>
  <calcPr calcId="124519" fullCalcOnLoad="1"/>
</workbook>
</file>

<file path=xl/styles.xml><?xml version="1.0" encoding="utf-8"?>
<styleSheet xmlns="http://schemas.openxmlformats.org/spreadsheetml/2006/main">
  <numFmts count="8">
    <numFmt numFmtId="164" formatCode="#,##0.00\ &quot;€&quot;"/>
    <numFmt numFmtId="165" formatCode="0.0%"/>
    <numFmt numFmtId="166" formatCode="#,##0\ &quot;€&quot;"/>
    <numFmt numFmtId="167" formatCode="0.0000"/>
    <numFmt numFmtId="168" formatCode="0.000000"/>
    <numFmt numFmtId="169" formatCode="0.000"/>
    <numFmt numFmtId="170" formatCode="0.0&quot;x&quot;"/>
    <numFmt numFmtId="171" formatCode="#,##0.0"/>
  </numFmts>
  <fonts count="23">
    <font>
      <name val="Calibri"/>
      <family val="2"/>
      <color theme="1"/>
      <sz val="11"/>
      <scheme val="minor"/>
    </font>
    <font>
      <name val="Aptos Display"/>
      <b val="1"/>
      <color rgb="FF14463B"/>
      <sz val="17"/>
    </font>
    <font>
      <name val="Aptos"/>
      <i val="1"/>
      <color rgb="FF5D6B66"/>
      <sz val="9.5"/>
    </font>
    <font>
      <name val="Aptos"/>
      <b val="1"/>
      <color rgb="FFFFFFFF"/>
      <sz val="10"/>
    </font>
    <font>
      <name val="Aptos"/>
      <b val="1"/>
      <color rgb="FF14463B"/>
      <sz val="9.5"/>
    </font>
    <font>
      <name val="Aptos"/>
      <color rgb="FF15211C"/>
      <sz val="10"/>
    </font>
    <font>
      <name val="Aptos"/>
      <color rgb="FF0000CC"/>
      <sz val="10"/>
    </font>
    <font>
      <name val="Aptos"/>
      <b val="1"/>
      <color rgb="FF14463B"/>
      <sz val="10"/>
    </font>
    <font>
      <name val="Aptos"/>
      <b val="1"/>
      <color rgb="FFC0533F"/>
      <sz val="10"/>
    </font>
    <font>
      <name val="Aptos"/>
      <color rgb="FF5D6B66"/>
      <sz val="9.5"/>
    </font>
    <font>
      <name val="Aptos"/>
      <b val="1"/>
      <color rgb="FF15211C"/>
      <sz val="10"/>
    </font>
    <font>
      <name val="Aptos"/>
      <b val="1"/>
      <color rgb="FF0000CC"/>
      <sz val="13"/>
    </font>
    <font>
      <name val="Aptos"/>
      <b val="1"/>
      <color rgb="FF14463B"/>
      <sz val="11"/>
    </font>
    <font>
      <name val="Aptos"/>
      <b val="1"/>
      <color rgb="FF14463B"/>
      <sz val="13"/>
    </font>
    <font>
      <name val="Aptos"/>
      <b val="1"/>
      <color rgb="FF14463B"/>
      <sz val="12"/>
    </font>
    <font>
      <name val="Aptos"/>
      <b val="1"/>
      <color rgb="FFB7831F"/>
      <sz val="9.5"/>
    </font>
    <font>
      <name val="Aptos"/>
      <color rgb="FF5D6B66"/>
      <sz val="10"/>
    </font>
    <font>
      <name val="Aptos"/>
      <color rgb="FF5D6B66"/>
      <sz val="9"/>
    </font>
    <font>
      <name val="Aptos"/>
      <b val="1"/>
      <color rgb="FF0000CC"/>
      <sz val="10"/>
    </font>
    <font>
      <name val="Aptos"/>
      <b val="1"/>
      <color rgb="FFB7831F"/>
      <sz val="10"/>
    </font>
    <font>
      <name val="Aptos"/>
      <b val="1"/>
      <color rgb="FF0000CC"/>
      <sz val="11"/>
    </font>
    <font>
      <name val="Aptos"/>
      <b val="1"/>
      <color rgb="FF0000CC"/>
      <sz val="9.5"/>
    </font>
    <font>
      <name val="Aptos"/>
      <color rgb="FF008000"/>
      <sz val="9"/>
      <u val="single"/>
    </font>
  </fonts>
  <fills count="6">
    <fill>
      <patternFill/>
    </fill>
    <fill>
      <patternFill patternType="gray125"/>
    </fill>
    <fill>
      <patternFill patternType="solid">
        <fgColor rgb="FF2E8B74"/>
      </patternFill>
    </fill>
    <fill>
      <patternFill patternType="solid">
        <fgColor rgb="FFE7E0D1"/>
      </patternFill>
    </fill>
    <fill>
      <patternFill patternType="solid">
        <fgColor rgb="FFFDF3E7"/>
      </patternFill>
    </fill>
    <fill>
      <patternFill patternType="solid">
        <fgColor rgb="FFF4F1EA"/>
      </patternFill>
    </fill>
  </fills>
  <borders count="2">
    <border>
      <left/>
      <right/>
      <top/>
      <bottom/>
      <diagonal/>
    </border>
    <border>
      <left style="thin">
        <color rgb="FFDDD8CC"/>
      </left>
      <right style="thin">
        <color rgb="FFDDD8CC"/>
      </right>
      <top style="thin">
        <color rgb="FFDDD8CC"/>
      </top>
      <bottom style="thin">
        <color rgb="FFDDD8CC"/>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5" fillId="0" borderId="0" pivotButton="0" quotePrefix="0" xfId="0"/>
    <xf numFmtId="0" fontId="4" fillId="3" borderId="1" applyAlignment="1" pivotButton="0" quotePrefix="0" xfId="0">
      <alignment vertical="center" wrapText="1"/>
    </xf>
    <xf numFmtId="164" fontId="5" fillId="0" borderId="0" pivotButton="0" quotePrefix="0" xfId="0"/>
    <xf numFmtId="165" fontId="5" fillId="0" borderId="0" pivotButton="0" quotePrefix="0" xfId="0"/>
    <xf numFmtId="164" fontId="7" fillId="0" borderId="0" pivotButton="0" quotePrefix="0" xfId="0"/>
    <xf numFmtId="3" fontId="7" fillId="0" borderId="0" pivotButton="0" quotePrefix="0" xfId="0"/>
    <xf numFmtId="166" fontId="7" fillId="0" borderId="0" pivotButton="0" quotePrefix="0" xfId="0"/>
    <xf numFmtId="0" fontId="8" fillId="0" borderId="0" pivotButton="0" quotePrefix="0" xfId="0"/>
    <xf numFmtId="0" fontId="5" fillId="0" borderId="0" applyAlignment="1" pivotButton="0" quotePrefix="0" xfId="0">
      <alignment vertical="top" wrapText="1"/>
    </xf>
    <xf numFmtId="0" fontId="10" fillId="0" borderId="0" pivotButton="0" quotePrefix="0" xfId="0"/>
    <xf numFmtId="3" fontId="11" fillId="4" borderId="1" applyAlignment="1" pivotButton="0" quotePrefix="0" xfId="0">
      <alignment horizontal="center"/>
    </xf>
    <xf numFmtId="166" fontId="0" fillId="0" borderId="1" pivotButton="0" quotePrefix="0" xfId="0"/>
    <xf numFmtId="0" fontId="7" fillId="0" borderId="0" pivotButton="0" quotePrefix="0" xfId="0"/>
    <xf numFmtId="3" fontId="12" fillId="5" borderId="1" pivotButton="0" quotePrefix="0" xfId="0"/>
    <xf numFmtId="166" fontId="12" fillId="5" borderId="1" pivotButton="0" quotePrefix="0" xfId="0"/>
    <xf numFmtId="0" fontId="9" fillId="0" borderId="0" pivotButton="0" quotePrefix="0" xfId="0"/>
    <xf numFmtId="164" fontId="0" fillId="0" borderId="1" pivotButton="0" quotePrefix="0" xfId="0"/>
    <xf numFmtId="164" fontId="7" fillId="5" borderId="1" pivotButton="0" quotePrefix="0" xfId="0"/>
    <xf numFmtId="0" fontId="9" fillId="0" borderId="0" applyAlignment="1" pivotButton="0" quotePrefix="0" xfId="0">
      <alignment vertical="top" wrapText="1"/>
    </xf>
    <xf numFmtId="166" fontId="7" fillId="5" borderId="1" pivotButton="0" quotePrefix="0" xfId="0"/>
    <xf numFmtId="166" fontId="5" fillId="0" borderId="1" pivotButton="0" quotePrefix="0" xfId="0"/>
    <xf numFmtId="166" fontId="7" fillId="0" borderId="1" pivotButton="0" quotePrefix="0" xfId="0"/>
    <xf numFmtId="166" fontId="13" fillId="5" borderId="1" pivotButton="0" quotePrefix="0" xfId="0"/>
    <xf numFmtId="165" fontId="7" fillId="0" borderId="1" pivotButton="0" quotePrefix="0" xfId="0"/>
    <xf numFmtId="164" fontId="5" fillId="0" borderId="1" pivotButton="0" quotePrefix="0" xfId="0"/>
    <xf numFmtId="3" fontId="5" fillId="0" borderId="1" pivotButton="0" quotePrefix="0" xfId="0"/>
    <xf numFmtId="3" fontId="14" fillId="5" borderId="1" pivotButton="0" quotePrefix="0" xfId="0"/>
    <xf numFmtId="0" fontId="14" fillId="5" borderId="1" pivotButton="0" quotePrefix="0" xfId="0"/>
    <xf numFmtId="164" fontId="6" fillId="0" borderId="1" pivotButton="0" quotePrefix="0" xfId="0"/>
    <xf numFmtId="165" fontId="6" fillId="0" borderId="1" pivotButton="0" quotePrefix="0" xfId="0"/>
    <xf numFmtId="3" fontId="6" fillId="0" borderId="1" pivotButton="0" quotePrefix="0" xfId="0"/>
    <xf numFmtId="4" fontId="6" fillId="0" borderId="1" pivotButton="0" quotePrefix="0" xfId="0"/>
    <xf numFmtId="167" fontId="6" fillId="0" borderId="1" pivotButton="0" quotePrefix="0" xfId="0"/>
    <xf numFmtId="10" fontId="6" fillId="0" borderId="1" pivotButton="0" quotePrefix="0" xfId="0"/>
    <xf numFmtId="168" fontId="6" fillId="0" borderId="1" pivotButton="0" quotePrefix="0" xfId="0"/>
    <xf numFmtId="9" fontId="6" fillId="0" borderId="1" pivotButton="0" quotePrefix="0" xfId="0"/>
    <xf numFmtId="169" fontId="6" fillId="0" borderId="1" pivotButton="0" quotePrefix="0" xfId="0"/>
    <xf numFmtId="2" fontId="6" fillId="0" borderId="1" pivotButton="0" quotePrefix="0" xfId="0"/>
    <xf numFmtId="166" fontId="6" fillId="0" borderId="1" pivotButton="0" quotePrefix="0" xfId="0"/>
    <xf numFmtId="0" fontId="15" fillId="0" borderId="0" pivotButton="0" quotePrefix="0" xfId="0"/>
    <xf numFmtId="165" fontId="5" fillId="0" borderId="1" pivotButton="0" quotePrefix="0" xfId="0"/>
    <xf numFmtId="0" fontId="16" fillId="0" borderId="0" pivotButton="0" quotePrefix="0" xfId="0"/>
    <xf numFmtId="164" fontId="12" fillId="5" borderId="1" pivotButton="0" quotePrefix="0" xfId="0"/>
    <xf numFmtId="0" fontId="17" fillId="0" borderId="0" pivotButton="0" quotePrefix="0" xfId="0"/>
    <xf numFmtId="170" fontId="8" fillId="0" borderId="1" pivotButton="0" quotePrefix="0" xfId="0"/>
    <xf numFmtId="165" fontId="0" fillId="0" borderId="1" pivotButton="0" quotePrefix="0" xfId="0"/>
    <xf numFmtId="165" fontId="8" fillId="0" borderId="1" pivotButton="0" quotePrefix="0" xfId="0"/>
    <xf numFmtId="0" fontId="6" fillId="0" borderId="0" pivotButton="0" quotePrefix="0" xfId="0"/>
    <xf numFmtId="166" fontId="10" fillId="0" borderId="1" pivotButton="0" quotePrefix="0" xfId="0"/>
    <xf numFmtId="165" fontId="7" fillId="5" borderId="1" pivotButton="0" quotePrefix="0" xfId="0"/>
    <xf numFmtId="3" fontId="7" fillId="5" borderId="1" pivotButton="0" quotePrefix="0" xfId="0"/>
    <xf numFmtId="0" fontId="0" fillId="0" borderId="1" pivotButton="0" quotePrefix="0" xfId="0"/>
    <xf numFmtId="3" fontId="12" fillId="0" borderId="1" pivotButton="0" quotePrefix="0" xfId="0"/>
    <xf numFmtId="164" fontId="18" fillId="4" borderId="1" pivotButton="0" quotePrefix="0" xfId="0"/>
    <xf numFmtId="165" fontId="18" fillId="4" borderId="1" pivotButton="0" quotePrefix="0" xfId="0"/>
    <xf numFmtId="171" fontId="12" fillId="5" borderId="1" pivotButton="0" quotePrefix="0" xfId="0"/>
    <xf numFmtId="171" fontId="5" fillId="0" borderId="1" pivotButton="0" quotePrefix="0" xfId="0"/>
    <xf numFmtId="170" fontId="12" fillId="5" borderId="1" pivotButton="0" quotePrefix="0" xfId="0"/>
    <xf numFmtId="0" fontId="12" fillId="5" borderId="1" pivotButton="0" quotePrefix="0" xfId="0"/>
    <xf numFmtId="3" fontId="19" fillId="0" borderId="1" pivotButton="0" quotePrefix="0" xfId="0"/>
    <xf numFmtId="171" fontId="19" fillId="0" borderId="1" pivotButton="0" quotePrefix="0" xfId="0"/>
    <xf numFmtId="0" fontId="20" fillId="5" borderId="1" pivotButton="0" quotePrefix="0" xfId="0"/>
    <xf numFmtId="0" fontId="2" fillId="0" borderId="0" pivotButton="0" quotePrefix="0" xfId="0"/>
    <xf numFmtId="3" fontId="6" fillId="4" borderId="1" pivotButton="0" quotePrefix="0" xfId="0"/>
    <xf numFmtId="3"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3" fontId="7" fillId="0" borderId="1" pivotButton="0" quotePrefix="0" xfId="0"/>
    <xf numFmtId="0" fontId="18" fillId="4" borderId="1" pivotButton="0" quotePrefix="0" xfId="0"/>
    <xf numFmtId="171" fontId="0" fillId="0" borderId="1" pivotButton="0" quotePrefix="0" xfId="0"/>
    <xf numFmtId="0" fontId="4" fillId="3" borderId="1" pivotButton="0" quotePrefix="0" xfId="0"/>
    <xf numFmtId="164" fontId="21" fillId="3" borderId="1" pivotButton="0" quotePrefix="0" xfId="0"/>
    <xf numFmtId="166" fontId="21" fillId="3" borderId="1" pivotButton="0" quotePrefix="0" xfId="0"/>
    <xf numFmtId="3" fontId="0" fillId="0" borderId="1" pivotButton="0" quotePrefix="0" xfId="0"/>
    <xf numFmtId="0" fontId="6" fillId="0" borderId="1" pivotButton="0" quotePrefix="0" xfId="0"/>
    <xf numFmtId="2" fontId="7" fillId="0" borderId="1" pivotButton="0" quotePrefix="0" xfId="0"/>
    <xf numFmtId="0" fontId="9" fillId="0" borderId="1" pivotButton="0" quotePrefix="0" xfId="0"/>
    <xf numFmtId="0" fontId="6" fillId="4" borderId="1" pivotButton="0" quotePrefix="0" xfId="0"/>
    <xf numFmtId="0" fontId="5" fillId="0" borderId="1" pivotButton="0" quotePrefix="0" xfId="0"/>
    <xf numFmtId="0" fontId="22" fillId="0" borderId="0" pivotButton="0" quotePrefix="0" xfId="0"/>
  </cellXfs>
  <cellStyles count="1">
    <cellStyle name="Normal" xfId="0" builtinId="0" hidden="0"/>
  </cellStyles>
  <dxfs count="4">
    <dxf>
      <font>
        <b val="1"/>
        <color rgb="FFC0533F"/>
        <sz val="13"/>
      </font>
    </dxf>
    <dxf>
      <font>
        <b val="1"/>
        <color rgb="FF1F8A6D"/>
        <sz val="13"/>
      </font>
    </dxf>
    <dxf>
      <font>
        <b val="1"/>
        <color rgb="FFC0533F"/>
      </font>
    </dxf>
    <dxf>
      <font>
        <b val="1"/>
        <color rgb="FF1F8A6D"/>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7.xml.rels><Relationships xmlns="http://schemas.openxmlformats.org/package/2006/relationships"><Relationship Type="http://schemas.openxmlformats.org/officeDocument/2006/relationships/hyperlink" Target="https://stripe.com/es/pricing" TargetMode="External" Id="rId1" /><Relationship Type="http://schemas.openxmlformats.org/officeDocument/2006/relationships/hyperlink" Target="https://www.anthropic.com/claude/haiku" TargetMode="External" Id="rId2" /><Relationship Type="http://schemas.openxmlformats.org/officeDocument/2006/relationships/hyperlink" Target="https://docs.railway.com/pricing" TargetMode="External" Id="rId3" /><Relationship Type="http://schemas.openxmlformats.org/officeDocument/2006/relationships/hyperlink" Target="https://resend.com/docs/knowledge-base/what-is-resend-pricing" TargetMode="External" Id="rId4" /><Relationship Type="http://schemas.openxmlformats.org/officeDocument/2006/relationships/hyperlink" Target="https://whatsappbusiness.com/products/platform-pricing/" TargetMode="External" Id="rId5" /><Relationship Type="http://schemas.openxmlformats.org/officeDocument/2006/relationships/hyperlink" Target="https://www.ecb.europa.eu/stats/policy_and_exchange_rates/euro_reference_exchange_rates/html/index.en.html" TargetMode="External" Id="rId6" /><Relationship Type="http://schemas.openxmlformats.org/officeDocument/2006/relationships/hyperlink" Target="https://www.retellai.com/pricing" TargetMode="External" Id="rId7" /><Relationship Type="http://schemas.openxmlformats.org/officeDocument/2006/relationships/hyperlink" Target="https://console.groq.com/docs/speech-to-text" TargetMode="External" Id="rId8" /><Relationship Type="http://schemas.openxmlformats.org/officeDocument/2006/relationships/hyperlink" Target="https://www.runpod.io/product/serverless" TargetMode="External" Id="rId9" /><Relationship Type="http://schemas.openxmlformats.org/officeDocument/2006/relationships/hyperlink" Target="https://github.com/QwenLM/Qwen3" TargetMode="External" Id="rId10" /></Relationships>
</file>

<file path=xl/worksheets/sheet1.xml><?xml version="1.0" encoding="utf-8"?>
<worksheet xmlns="http://schemas.openxmlformats.org/spreadsheetml/2006/main">
  <sheetPr>
    <tabColor rgb="FF14463B"/>
    <outlinePr summaryBelow="1" summaryRight="1"/>
    <pageSetUpPr/>
  </sheetPr>
  <dimension ref="A1:H27"/>
  <sheetViews>
    <sheetView showGridLines="0" workbookViewId="0">
      <selection activeCell="A1" sqref="A1"/>
    </sheetView>
  </sheetViews>
  <sheetFormatPr baseColWidth="8" defaultRowHeight="15"/>
  <cols>
    <col width="38" customWidth="1" min="1" max="1"/>
    <col width="16" customWidth="1" min="2" max="2"/>
    <col width="16" customWidth="1" min="3" max="3"/>
    <col width="16" customWidth="1" min="4" max="4"/>
    <col width="15" customWidth="1" min="5" max="5"/>
    <col width="40" customWidth="1" min="6" max="6"/>
  </cols>
  <sheetData>
    <row r="1" ht="26" customHeight="1">
      <c r="A1" s="1" t="inlineStr">
        <is>
          <t>Noesis — Modelo economico</t>
        </is>
      </c>
    </row>
    <row r="2" ht="30" customHeight="1">
      <c r="A2" s="2" t="inlineStr">
        <is>
          <t>Modelo vivo: las celdas azules son entradas editables y el resto son formulas. Las cifras proceden del analisis interno fechado el 15/07/2026 con fuentes citadas en la hoja Fuentes. Lo que el repositorio no acredita esta en la hoja Datos_Pendientes y NO se ha estimado.</t>
        </is>
      </c>
    </row>
    <row r="4">
      <c r="A4" s="3" t="inlineStr">
        <is>
          <t>Catalogo adoptado</t>
        </is>
      </c>
    </row>
    <row r="5">
      <c r="A5" s="5" t="inlineStr">
        <is>
          <t>Concepto</t>
        </is>
      </c>
      <c r="B5" s="5" t="inlineStr">
        <is>
          <t>Autonomo</t>
        </is>
      </c>
      <c r="C5" s="5" t="inlineStr">
        <is>
          <t>Negocio</t>
        </is>
      </c>
      <c r="D5" s="5" t="inlineStr">
        <is>
          <t>Premium</t>
        </is>
      </c>
      <c r="E5" s="5" t="inlineStr">
        <is>
          <t>Unidad</t>
        </is>
      </c>
      <c r="F5" s="5" t="inlineStr">
        <is>
          <t>Nota</t>
        </is>
      </c>
    </row>
    <row r="6">
      <c r="A6" s="4" t="inlineStr">
        <is>
          <t>Precio mensual</t>
        </is>
      </c>
      <c r="B6" s="6">
        <f>'Supuestos'!B7</f>
        <v/>
      </c>
      <c r="C6" s="6">
        <f>'Supuestos'!C7</f>
        <v/>
      </c>
      <c r="D6" s="6">
        <f>'Supuestos'!D7</f>
        <v/>
      </c>
      <c r="E6" s="4" t="inlineStr">
        <is>
          <t>€/mes + IVA</t>
        </is>
      </c>
      <c r="F6" s="4" t="inlineStr">
        <is>
          <t>Catalogo adoptado tras el analisis</t>
        </is>
      </c>
    </row>
    <row r="7">
      <c r="A7" s="4" t="inlineStr">
        <is>
          <t>Precio anual</t>
        </is>
      </c>
      <c r="B7" s="6" t="n">
        <v>319</v>
      </c>
      <c r="C7" s="6" t="n">
        <v>539</v>
      </c>
      <c r="D7" s="6" t="n">
        <v>1089</v>
      </c>
      <c r="E7" s="4" t="inlineStr">
        <is>
          <t>€/ano + IVA</t>
        </is>
      </c>
      <c r="F7" s="4" t="inlineStr">
        <is>
          <t>Cobra 11 meses, da acceso 12</t>
        </is>
      </c>
    </row>
    <row r="8">
      <c r="A8" s="4" t="inlineStr">
        <is>
          <t>Mix de clientes supuesto</t>
        </is>
      </c>
      <c r="B8" s="7">
        <f>'Supuestos'!B8</f>
        <v/>
      </c>
      <c r="C8" s="7">
        <f>'Supuestos'!C8</f>
        <v/>
      </c>
      <c r="D8" s="7">
        <f>'Supuestos'!D8</f>
        <v/>
      </c>
      <c r="E8" s="4" t="inlineStr">
        <is>
          <t>%</t>
        </is>
      </c>
      <c r="F8" s="4" t="inlineStr">
        <is>
          <t>Hipotesis de escala, a recalibrar</t>
        </is>
      </c>
    </row>
    <row r="9">
      <c r="A9" s="4" t="n"/>
      <c r="B9" s="4" t="n"/>
      <c r="C9" s="4" t="n"/>
      <c r="D9" s="4" t="n"/>
      <c r="E9" s="4" t="n"/>
      <c r="F9" s="4" t="n"/>
    </row>
    <row r="10">
      <c r="A10" s="3" t="inlineStr">
        <is>
          <t>Resultado por plan (modelo Noesis)</t>
        </is>
      </c>
    </row>
    <row r="11">
      <c r="A11" s="5" t="inlineStr">
        <is>
          <t>Metrica</t>
        </is>
      </c>
      <c r="B11" s="5" t="inlineStr">
        <is>
          <t>Autonomo</t>
        </is>
      </c>
      <c r="C11" s="5" t="inlineStr">
        <is>
          <t>Negocio</t>
        </is>
      </c>
      <c r="D11" s="5" t="inlineStr">
        <is>
          <t>Premium</t>
        </is>
      </c>
      <c r="E11" s="5" t="inlineStr">
        <is>
          <t>Unidad</t>
        </is>
      </c>
      <c r="F11" s="5" t="inlineStr">
        <is>
          <t>Nota</t>
        </is>
      </c>
    </row>
    <row r="12">
      <c r="A12" s="4" t="inlineStr">
        <is>
          <t>COGS software</t>
        </is>
      </c>
      <c r="B12" s="6">
        <f>'Unit_Economics'!E13</f>
        <v/>
      </c>
      <c r="C12" s="6">
        <f>'Unit_Economics'!F13</f>
        <v/>
      </c>
      <c r="D12" s="6">
        <f>'Unit_Economics'!G13</f>
        <v/>
      </c>
      <c r="E12" s="4" t="inlineStr">
        <is>
          <t>€/mes</t>
        </is>
      </c>
      <c r="F12" s="4" t="inlineStr">
        <is>
          <t>Stripe, WhatsApp, IA, voz, almacenamiento</t>
        </is>
      </c>
    </row>
    <row r="13">
      <c r="A13" s="4" t="inlineStr">
        <is>
          <t>Margen bruto</t>
        </is>
      </c>
      <c r="B13" s="7">
        <f>'Unit_Economics'!E14</f>
        <v/>
      </c>
      <c r="C13" s="7">
        <f>'Unit_Economics'!F14</f>
        <v/>
      </c>
      <c r="D13" s="7">
        <f>'Unit_Economics'!G14</f>
        <v/>
      </c>
      <c r="E13" s="4" t="inlineStr">
        <is>
          <t>%</t>
        </is>
      </c>
      <c r="F13" s="4" t="inlineStr">
        <is>
          <t>Sobre precio neto</t>
        </is>
      </c>
    </row>
    <row r="14">
      <c r="A14" s="4" t="inlineStr">
        <is>
          <t>Contribucion</t>
        </is>
      </c>
      <c r="B14" s="6">
        <f>'Unit_Economics'!E18</f>
        <v/>
      </c>
      <c r="C14" s="6">
        <f>'Unit_Economics'!F18</f>
        <v/>
      </c>
      <c r="D14" s="6">
        <f>'Unit_Economics'!G18</f>
        <v/>
      </c>
      <c r="E14" s="4" t="inlineStr">
        <is>
          <t>€/mes</t>
        </is>
      </c>
      <c r="F14" s="4" t="inlineStr">
        <is>
          <t>Ya descuenta soporte, onboarding y fijo</t>
        </is>
      </c>
    </row>
    <row r="15">
      <c r="A15" s="4" t="inlineStr">
        <is>
          <t>Margen de contribucion</t>
        </is>
      </c>
      <c r="B15" s="7">
        <f>'Unit_Economics'!E19</f>
        <v/>
      </c>
      <c r="C15" s="7">
        <f>'Unit_Economics'!F19</f>
        <v/>
      </c>
      <c r="D15" s="7">
        <f>'Unit_Economics'!G19</f>
        <v/>
      </c>
      <c r="E15" s="4" t="inlineStr">
        <is>
          <t>%</t>
        </is>
      </c>
      <c r="F15" s="4" t="inlineStr">
        <is>
          <t>Sin CAC</t>
        </is>
      </c>
    </row>
    <row r="16">
      <c r="A16" s="4" t="n"/>
      <c r="B16" s="4" t="n"/>
      <c r="C16" s="4" t="n"/>
      <c r="D16" s="4" t="n"/>
      <c r="E16" s="4" t="n"/>
      <c r="F16" s="4" t="n"/>
    </row>
    <row r="17">
      <c r="A17" s="3" t="inlineStr">
        <is>
          <t>Punto de equilibrio</t>
        </is>
      </c>
    </row>
    <row r="18">
      <c r="A18" s="5" t="inlineStr">
        <is>
          <t>Metrica</t>
        </is>
      </c>
      <c r="B18" s="5" t="inlineStr">
        <is>
          <t>Valor</t>
        </is>
      </c>
      <c r="C18" s="5" t="inlineStr"/>
      <c r="D18" s="5" t="inlineStr"/>
      <c r="E18" s="5" t="inlineStr">
        <is>
          <t>Unidad</t>
        </is>
      </c>
      <c r="F18" s="5" t="inlineStr">
        <is>
          <t>Nota</t>
        </is>
      </c>
    </row>
    <row r="19">
      <c r="A19" s="4" t="inlineStr">
        <is>
          <t>Contribucion media ponderada</t>
        </is>
      </c>
      <c r="B19" s="8">
        <f>Unit_Economics!E18*Supuestos!B8+Unit_Economics!F18*Supuestos!C8+Unit_Economics!G18*Supuestos!D8</f>
        <v/>
      </c>
      <c r="C19" s="4" t="n"/>
      <c r="D19" s="4" t="n"/>
      <c r="E19" s="4" t="inlineStr">
        <is>
          <t>€/cuenta/mes</t>
        </is>
      </c>
      <c r="F19" s="4" t="inlineStr">
        <is>
          <t>Segun el mix de la hoja Supuestos</t>
        </is>
      </c>
    </row>
    <row r="20">
      <c r="A20" s="4" t="inlineStr">
        <is>
          <t>Opex fijo mensual</t>
        </is>
      </c>
      <c r="B20" s="8">
        <f>Supuestos!B41</f>
        <v/>
      </c>
      <c r="C20" s="4" t="n"/>
      <c r="D20" s="4" t="n"/>
      <c r="E20" s="4" t="inlineStr">
        <is>
          <t>€/mes</t>
        </is>
      </c>
      <c r="F20" s="4" t="inlineStr">
        <is>
          <t>HIPOTESIS: 3.500 €. Sustituir por el gasto real</t>
        </is>
      </c>
    </row>
    <row r="21">
      <c r="A21" s="4" t="inlineStr">
        <is>
          <t>Cuentas para equilibrio</t>
        </is>
      </c>
      <c r="B21" s="9">
        <f>IF(B19&gt;0,ROUNDUP(B20/B19,0),"")</f>
        <v/>
      </c>
      <c r="C21" s="4" t="n"/>
      <c r="D21" s="4" t="n"/>
      <c r="E21" s="4" t="inlineStr">
        <is>
          <t>cuentas</t>
        </is>
      </c>
      <c r="F21" s="4" t="inlineStr">
        <is>
          <t>Con el opex real este numero cambia</t>
        </is>
      </c>
    </row>
    <row r="22">
      <c r="A22" s="4" t="inlineStr">
        <is>
          <t>Ingreso mensual en equilibrio</t>
        </is>
      </c>
      <c r="B22" s="10">
        <f>IF(B21&lt;&gt;"",B21*(Supuestos!B7*Supuestos!B8+Supuestos!C7*Supuestos!C8+Supuestos!D7*Supuestos!D8),"")</f>
        <v/>
      </c>
      <c r="C22" s="4" t="n"/>
      <c r="D22" s="4" t="n"/>
      <c r="E22" s="4" t="inlineStr">
        <is>
          <t>€/mes</t>
        </is>
      </c>
      <c r="F22" s="4" t="inlineStr">
        <is>
          <t>Sin IVA</t>
        </is>
      </c>
    </row>
    <row r="23">
      <c r="A23" s="4" t="n"/>
      <c r="B23" s="4" t="n"/>
      <c r="C23" s="4" t="n"/>
      <c r="D23" s="4" t="n"/>
      <c r="E23" s="4" t="n"/>
      <c r="F23" s="4" t="n"/>
    </row>
    <row r="24">
      <c r="A24" s="11" t="inlineStr">
        <is>
          <t>Aviso</t>
        </is>
      </c>
      <c r="B24" s="4" t="n"/>
      <c r="C24" s="4" t="n"/>
      <c r="D24" s="4" t="n"/>
      <c r="E24" s="4" t="n"/>
      <c r="F24" s="4" t="n"/>
    </row>
    <row r="25">
      <c r="A25" s="12" t="inlineStr">
        <is>
          <t>Ninguna cifra de este libro es un resultado observado. Son supuestos de planificacion fechados que el piloto debe recalibrar. El opex fijo, los sueldos, el reparto societario y el CAC no constan en el repositorio: estan en Datos_Pendientes sin rellenar.</t>
        </is>
      </c>
    </row>
    <row r="26"/>
    <row r="27"/>
  </sheetData>
  <mergeCells count="6">
    <mergeCell ref="A10:F10"/>
    <mergeCell ref="A2:H2"/>
    <mergeCell ref="A17:F17"/>
    <mergeCell ref="A25:F27"/>
    <mergeCell ref="A4:F4"/>
    <mergeCell ref="A1:H1"/>
  </mergeCells>
  <pageMargins left="0.75" right="0.75" top="1" bottom="1" header="0.5" footer="0.5"/>
</worksheet>
</file>

<file path=xl/worksheets/sheet2.xml><?xml version="1.0" encoding="utf-8"?>
<worksheet xmlns="http://schemas.openxmlformats.org/spreadsheetml/2006/main">
  <sheetPr>
    <tabColor rgb="FF2E8B74"/>
    <outlinePr summaryBelow="1" summaryRight="1"/>
    <pageSetUpPr/>
  </sheetPr>
  <dimension ref="A1:F56"/>
  <sheetViews>
    <sheetView showGridLines="0" workbookViewId="0">
      <pane ySplit="4" topLeftCell="A5"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34" customWidth="1" min="6" max="6"/>
  </cols>
  <sheetData>
    <row r="1" ht="26" customHeight="1">
      <c r="A1" s="1" t="inlineStr">
        <is>
          <t>Calculadora: escribe cuantos clientes tienes</t>
        </is>
      </c>
    </row>
    <row r="2" ht="30" customHeight="1">
      <c r="A2" s="2" t="inlineStr">
        <is>
          <t>Cambia solo las tres celdas naranjas de abajo y todo el libro responde: ingresos, cada linea de coste, resultado mensual y cuanto falta para el equilibrio. Es la hoja para jugar; el resto explica de donde sale cada cifra.</t>
        </is>
      </c>
    </row>
    <row r="4">
      <c r="A4" s="3" t="inlineStr">
        <is>
          <t>1 · Cuantos clientes de cada plan</t>
        </is>
      </c>
    </row>
    <row r="5">
      <c r="A5" s="5" t="inlineStr">
        <is>
          <t>Plan</t>
        </is>
      </c>
      <c r="B5" s="5" t="inlineStr">
        <is>
          <t>Clientes</t>
        </is>
      </c>
      <c r="C5" s="5" t="inlineStr">
        <is>
          <t>Precio</t>
        </is>
      </c>
      <c r="D5" s="5" t="inlineStr">
        <is>
          <t>Ingreso mensual</t>
        </is>
      </c>
      <c r="E5" s="5" t="inlineStr">
        <is>
          <t>Ingreso anual</t>
        </is>
      </c>
      <c r="F5" s="5" t="inlineStr">
        <is>
          <t>Nota</t>
        </is>
      </c>
    </row>
    <row r="6" ht="22" customHeight="1">
      <c r="A6" s="13" t="inlineStr">
        <is>
          <t>Autonomo</t>
        </is>
      </c>
      <c r="B6" s="14" t="n">
        <v>1</v>
      </c>
      <c r="C6" s="15">
        <f>Supuestos!B7</f>
        <v/>
      </c>
      <c r="D6" s="15">
        <f>B6*C6</f>
        <v/>
      </c>
      <c r="E6" s="15">
        <f>D6*12</f>
        <v/>
      </c>
    </row>
    <row r="7" ht="22" customHeight="1">
      <c r="A7" s="13" t="inlineStr">
        <is>
          <t>Negocio</t>
        </is>
      </c>
      <c r="B7" s="14" t="n">
        <v>5</v>
      </c>
      <c r="C7" s="15">
        <f>Supuestos!C7</f>
        <v/>
      </c>
      <c r="D7" s="15">
        <f>B7*C7</f>
        <v/>
      </c>
      <c r="E7" s="15">
        <f>D7*12</f>
        <v/>
      </c>
    </row>
    <row r="8" ht="22" customHeight="1">
      <c r="A8" s="13" t="inlineStr">
        <is>
          <t>Premium</t>
        </is>
      </c>
      <c r="B8" s="14" t="n">
        <v>2</v>
      </c>
      <c r="C8" s="15">
        <f>Supuestos!D7</f>
        <v/>
      </c>
      <c r="D8" s="15">
        <f>B8*C8</f>
        <v/>
      </c>
      <c r="E8" s="15">
        <f>D8*12</f>
        <v/>
      </c>
    </row>
    <row r="9">
      <c r="A9" s="16" t="inlineStr">
        <is>
          <t>TOTAL</t>
        </is>
      </c>
      <c r="B9" s="17">
        <f>SUM(B6:B8)</f>
        <v/>
      </c>
      <c r="D9" s="18">
        <f>SUM(D6:D8)</f>
        <v/>
      </c>
      <c r="E9" s="18">
        <f>SUM(E6:E8)</f>
        <v/>
      </c>
      <c r="F9" s="19" t="inlineStr">
        <is>
          <t>Ingreso sin IVA</t>
        </is>
      </c>
    </row>
    <row r="11">
      <c r="A11" s="3" t="inlineStr">
        <is>
          <t>2 · Costes variables: lo que cuesta servirlos</t>
        </is>
      </c>
    </row>
    <row r="12">
      <c r="A12" s="5" t="inlineStr">
        <is>
          <t>Concepto</t>
        </is>
      </c>
      <c r="B12" s="5" t="inlineStr">
        <is>
          <t>Autonomo</t>
        </is>
      </c>
      <c r="C12" s="5" t="inlineStr">
        <is>
          <t>Negocio</t>
        </is>
      </c>
      <c r="D12" s="5" t="inlineStr">
        <is>
          <t>Premium</t>
        </is>
      </c>
      <c r="E12" s="5" t="inlineStr">
        <is>
          <t>Total</t>
        </is>
      </c>
      <c r="F12" s="5" t="inlineStr">
        <is>
          <t>€ por cliente</t>
        </is>
      </c>
    </row>
    <row r="13">
      <c r="A13" s="4" t="inlineStr">
        <is>
          <t>Comisiones de Stripe</t>
        </is>
      </c>
      <c r="B13" s="20">
        <f>$B$6*'Unit_Economics'!E6</f>
        <v/>
      </c>
      <c r="C13" s="20">
        <f>$B$7*'Unit_Economics'!F6</f>
        <v/>
      </c>
      <c r="D13" s="20">
        <f>$B$8*'Unit_Economics'!G6</f>
        <v/>
      </c>
      <c r="E13" s="20">
        <f>SUM(B13:D13)</f>
        <v/>
      </c>
      <c r="F13" s="20">
        <f>IFERROR(E13/$B$9,"")</f>
        <v/>
      </c>
    </row>
    <row r="14">
      <c r="A14" s="4" t="inlineStr">
        <is>
          <t>WhatsApp (plantillas)</t>
        </is>
      </c>
      <c r="B14" s="20">
        <f>$B$6*'Unit_Economics'!E7</f>
        <v/>
      </c>
      <c r="C14" s="20">
        <f>$B$7*'Unit_Economics'!F7</f>
        <v/>
      </c>
      <c r="D14" s="20">
        <f>$B$8*'Unit_Economics'!G7</f>
        <v/>
      </c>
      <c r="E14" s="20">
        <f>SUM(B14:D14)</f>
        <v/>
      </c>
      <c r="F14" s="20">
        <f>IFERROR(E14/$B$9,"")</f>
        <v/>
      </c>
    </row>
    <row r="15">
      <c r="A15" s="4" t="inlineStr">
        <is>
          <t>IA avanzada</t>
        </is>
      </c>
      <c r="B15" s="20">
        <f>$B$6*'Unit_Economics'!E8</f>
        <v/>
      </c>
      <c r="C15" s="20">
        <f>$B$7*'Unit_Economics'!F8</f>
        <v/>
      </c>
      <c r="D15" s="20">
        <f>$B$8*'Unit_Economics'!G8</f>
        <v/>
      </c>
      <c r="E15" s="20">
        <f>SUM(B15:D15)</f>
        <v/>
      </c>
      <c r="F15" s="20">
        <f>IFERROR(E15/$B$9,"")</f>
        <v/>
      </c>
    </row>
    <row r="16">
      <c r="A16" s="4" t="inlineStr">
        <is>
          <t>Transcripcion de voz</t>
        </is>
      </c>
      <c r="B16" s="20">
        <f>$B$6*'Unit_Economics'!E9</f>
        <v/>
      </c>
      <c r="C16" s="20">
        <f>$B$7*'Unit_Economics'!F9</f>
        <v/>
      </c>
      <c r="D16" s="20">
        <f>$B$8*'Unit_Economics'!G9</f>
        <v/>
      </c>
      <c r="E16" s="20">
        <f>SUM(B16:D16)</f>
        <v/>
      </c>
      <c r="F16" s="20">
        <f>IFERROR(E16/$B$9,"")</f>
        <v/>
      </c>
    </row>
    <row r="17">
      <c r="A17" s="4" t="inlineStr">
        <is>
          <t>Extraccion de documentos</t>
        </is>
      </c>
      <c r="B17" s="20">
        <f>$B$6*'Unit_Economics'!E10</f>
        <v/>
      </c>
      <c r="C17" s="20">
        <f>$B$7*'Unit_Economics'!F10</f>
        <v/>
      </c>
      <c r="D17" s="20">
        <f>$B$8*'Unit_Economics'!G10</f>
        <v/>
      </c>
      <c r="E17" s="20">
        <f>SUM(B17:D17)</f>
        <v/>
      </c>
      <c r="F17" s="20">
        <f>IFERROR(E17/$B$9,"")</f>
        <v/>
      </c>
    </row>
    <row r="18">
      <c r="A18" s="4" t="inlineStr">
        <is>
          <t>Almacenamiento</t>
        </is>
      </c>
      <c r="B18" s="20">
        <f>$B$6*'Unit_Economics'!E11</f>
        <v/>
      </c>
      <c r="C18" s="20">
        <f>$B$7*'Unit_Economics'!F11</f>
        <v/>
      </c>
      <c r="D18" s="20">
        <f>$B$8*'Unit_Economics'!G11</f>
        <v/>
      </c>
      <c r="E18" s="20">
        <f>SUM(B18:D18)</f>
        <v/>
      </c>
      <c r="F18" s="20">
        <f>IFERROR(E18/$B$9,"")</f>
        <v/>
      </c>
    </row>
    <row r="19">
      <c r="A19" s="4" t="inlineStr">
        <is>
          <t>Voz telefonica (Premium)</t>
        </is>
      </c>
      <c r="B19" s="20">
        <f>$B$6*'Unit_Economics'!E12</f>
        <v/>
      </c>
      <c r="C19" s="20">
        <f>$B$7*'Unit_Economics'!F12</f>
        <v/>
      </c>
      <c r="D19" s="20">
        <f>$B$8*'Unit_Economics'!G12</f>
        <v/>
      </c>
      <c r="E19" s="20">
        <f>SUM(B19:D19)</f>
        <v/>
      </c>
      <c r="F19" s="20">
        <f>IFERROR(E19/$B$9,"")</f>
        <v/>
      </c>
    </row>
    <row r="20">
      <c r="A20" s="16" t="inlineStr">
        <is>
          <t>TOTAL COSTES VARIABLES</t>
        </is>
      </c>
      <c r="B20" s="21">
        <f>SUM(B13:B19)</f>
        <v/>
      </c>
      <c r="C20" s="21">
        <f>SUM(C13:C19)</f>
        <v/>
      </c>
      <c r="D20" s="21">
        <f>SUM(D13:D19)</f>
        <v/>
      </c>
      <c r="E20" s="21">
        <f>SUM(E13:E19)</f>
        <v/>
      </c>
      <c r="F20" s="21">
        <f>IFERROR(E20/$B$9,"")</f>
        <v/>
      </c>
    </row>
    <row r="22">
      <c r="A22" s="3" t="inlineStr">
        <is>
          <t>3 · Coste de atender a esos clientes</t>
        </is>
      </c>
    </row>
    <row r="23">
      <c r="A23" s="5" t="inlineStr">
        <is>
          <t>Concepto</t>
        </is>
      </c>
      <c r="B23" s="5" t="inlineStr">
        <is>
          <t>Autonomo</t>
        </is>
      </c>
      <c r="C23" s="5" t="inlineStr">
        <is>
          <t>Negocio</t>
        </is>
      </c>
      <c r="D23" s="5" t="inlineStr">
        <is>
          <t>Premium</t>
        </is>
      </c>
      <c r="E23" s="5" t="inlineStr">
        <is>
          <t>Total</t>
        </is>
      </c>
      <c r="F23" s="5" t="inlineStr">
        <is>
          <t>€ por cliente</t>
        </is>
      </c>
    </row>
    <row r="24">
      <c r="A24" s="4" t="inlineStr">
        <is>
          <t>Soporte humano</t>
        </is>
      </c>
      <c r="B24" s="20">
        <f>$B$6*'Unit_Economics'!E15</f>
        <v/>
      </c>
      <c r="C24" s="20">
        <f>$B$7*'Unit_Economics'!F15</f>
        <v/>
      </c>
      <c r="D24" s="20">
        <f>$B$8*'Unit_Economics'!G15</f>
        <v/>
      </c>
      <c r="E24" s="20">
        <f>SUM(B24:D24)</f>
        <v/>
      </c>
      <c r="F24" s="20">
        <f>IFERROR(E24/$B$9,"")</f>
        <v/>
      </c>
    </row>
    <row r="25">
      <c r="A25" s="4" t="inlineStr">
        <is>
          <t>Onboarding amortizado</t>
        </is>
      </c>
      <c r="B25" s="20">
        <f>$B$6*'Unit_Economics'!E16</f>
        <v/>
      </c>
      <c r="C25" s="20">
        <f>$B$7*'Unit_Economics'!F16</f>
        <v/>
      </c>
      <c r="D25" s="20">
        <f>$B$8*'Unit_Economics'!G16</f>
        <v/>
      </c>
      <c r="E25" s="20">
        <f>SUM(B25:D25)</f>
        <v/>
      </c>
      <c r="F25" s="20">
        <f>IFERROR(E25/$B$9,"")</f>
        <v/>
      </c>
    </row>
    <row r="26">
      <c r="A26" s="16" t="inlineStr">
        <is>
          <t>TOTAL SERVICIO</t>
        </is>
      </c>
      <c r="B26" s="21">
        <f>SUM(B24:B25)</f>
        <v/>
      </c>
      <c r="C26" s="21">
        <f>SUM(C24:C25)</f>
        <v/>
      </c>
      <c r="D26" s="21">
        <f>SUM(D24:D25)</f>
        <v/>
      </c>
      <c r="E26" s="21">
        <f>SUM(E24:E25)</f>
        <v/>
      </c>
    </row>
    <row r="28">
      <c r="A28" s="3" t="inlineStr">
        <is>
          <t>4 · Costes fijos: no dependen de cuantos clientes tengas</t>
        </is>
      </c>
    </row>
    <row r="29">
      <c r="A29" s="5" t="inlineStr">
        <is>
          <t>Concepto</t>
        </is>
      </c>
      <c r="B29" s="5" t="inlineStr">
        <is>
          <t>Importe mensual</t>
        </is>
      </c>
      <c r="C29" s="5" t="inlineStr"/>
      <c r="D29" s="5" t="inlineStr"/>
      <c r="E29" s="5" t="inlineStr">
        <is>
          <t>Anual</t>
        </is>
      </c>
      <c r="F29" s="5" t="inlineStr">
        <is>
          <t>Nota</t>
        </is>
      </c>
    </row>
    <row r="30">
      <c r="A30" s="4" t="inlineStr">
        <is>
          <t>Plataforma (app, correo, copias)</t>
        </is>
      </c>
      <c r="B30" s="15">
        <f>Supuestos!B40</f>
        <v/>
      </c>
      <c r="E30" s="15">
        <f>B30*12</f>
        <v/>
      </c>
      <c r="F30" s="22" t="inlineStr">
        <is>
          <t>Escala poco con el numero de cuentas</t>
        </is>
      </c>
    </row>
    <row r="31">
      <c r="A31" s="4" t="inlineStr">
        <is>
          <t>Opex fijo (founder, legal, herramientas)</t>
        </is>
      </c>
      <c r="B31" s="15">
        <f>Supuestos!B41</f>
        <v/>
      </c>
      <c r="E31" s="15">
        <f>B31*12</f>
        <v/>
      </c>
      <c r="F31" s="22" t="inlineStr">
        <is>
          <t>SUPUESTO de 3.500 €. Sustituir por el real de Datos_Pendientes</t>
        </is>
      </c>
    </row>
    <row r="32">
      <c r="A32" s="4" t="inlineStr">
        <is>
          <t>Publicidad</t>
        </is>
      </c>
      <c r="B32" s="15">
        <f>IFERROR(Ads_Captacion!B6,0)</f>
        <v/>
      </c>
      <c r="E32" s="15">
        <f>B32*12</f>
        <v/>
      </c>
      <c r="F32" s="22" t="inlineStr">
        <is>
          <t>Lo que escribas en la hoja Ads_Captacion</t>
        </is>
      </c>
    </row>
    <row r="33">
      <c r="A33" s="16" t="inlineStr">
        <is>
          <t>TOTAL FIJOS</t>
        </is>
      </c>
      <c r="B33" s="23">
        <f>SUM(B30:B32)</f>
        <v/>
      </c>
      <c r="E33" s="23">
        <f>SUM(E30:E32)</f>
        <v/>
      </c>
    </row>
    <row r="35">
      <c r="A35" s="3" t="inlineStr">
        <is>
          <t>5 · Resultado</t>
        </is>
      </c>
    </row>
    <row r="36">
      <c r="A36" s="5" t="inlineStr">
        <is>
          <t>Metrica</t>
        </is>
      </c>
      <c r="B36" s="5" t="inlineStr">
        <is>
          <t>Mensual</t>
        </is>
      </c>
      <c r="C36" s="5" t="inlineStr"/>
      <c r="D36" s="5" t="inlineStr"/>
      <c r="E36" s="5" t="inlineStr">
        <is>
          <t>Anual</t>
        </is>
      </c>
      <c r="F36" s="5" t="inlineStr">
        <is>
          <t>Nota</t>
        </is>
      </c>
    </row>
    <row r="37">
      <c r="A37" s="4" t="inlineStr">
        <is>
          <t>Ingreso</t>
        </is>
      </c>
      <c r="B37" s="24">
        <f>D9</f>
        <v/>
      </c>
      <c r="E37" s="24">
        <f>B37*12</f>
        <v/>
      </c>
      <c r="F37" s="19" t="inlineStr">
        <is>
          <t>Sin IVA</t>
        </is>
      </c>
    </row>
    <row r="38">
      <c r="A38" s="4" t="inlineStr">
        <is>
          <t>(-) Costes variables</t>
        </is>
      </c>
      <c r="B38" s="24">
        <f>-E20</f>
        <v/>
      </c>
      <c r="E38" s="24">
        <f>B38*12</f>
        <v/>
      </c>
      <c r="F38" s="19" t="inlineStr">
        <is>
          <t>Escalan con cada cliente nuevo</t>
        </is>
      </c>
    </row>
    <row r="39">
      <c r="A39" s="16" t="inlineStr">
        <is>
          <t>MARGEN BRUTO</t>
        </is>
      </c>
      <c r="B39" s="23">
        <f>B37+B38</f>
        <v/>
      </c>
      <c r="E39" s="25">
        <f>B39*12</f>
        <v/>
      </c>
      <c r="F39" s="19" t="inlineStr">
        <is>
          <t>Lo que queda para pagar estructura</t>
        </is>
      </c>
    </row>
    <row r="40">
      <c r="A40" s="4" t="inlineStr">
        <is>
          <t>(-) Coste de servicio</t>
        </is>
      </c>
      <c r="B40" s="24">
        <f>-E26</f>
        <v/>
      </c>
      <c r="E40" s="24">
        <f>B40*12</f>
        <v/>
      </c>
      <c r="F40" s="19" t="inlineStr">
        <is>
          <t>Soporte y onboarding</t>
        </is>
      </c>
    </row>
    <row r="41">
      <c r="A41" s="4" t="inlineStr">
        <is>
          <t>(-) Costes fijos</t>
        </is>
      </c>
      <c r="B41" s="24">
        <f>-B33</f>
        <v/>
      </c>
      <c r="E41" s="24">
        <f>B41*12</f>
        <v/>
      </c>
      <c r="F41" s="19" t="inlineStr">
        <is>
          <t>Plataforma, opex y publicidad</t>
        </is>
      </c>
    </row>
    <row r="42" ht="24" customHeight="1">
      <c r="A42" s="16" t="inlineStr">
        <is>
          <t>RESULTADO DEL MES</t>
        </is>
      </c>
      <c r="B42" s="26">
        <f>B39+B40+B41</f>
        <v/>
      </c>
      <c r="E42" s="25">
        <f>B42*12</f>
        <v/>
      </c>
      <c r="F42" s="19" t="inlineStr">
        <is>
          <t>Lo que gana o pierde la empresa cada mes</t>
        </is>
      </c>
    </row>
    <row r="43">
      <c r="A43" s="4" t="inlineStr">
        <is>
          <t>Margen sobre ingreso</t>
        </is>
      </c>
      <c r="B43" s="27">
        <f>IFERROR(B42/B37,"")</f>
        <v/>
      </c>
    </row>
    <row r="45">
      <c r="A45" s="3" t="inlineStr">
        <is>
          <t>6 · Cuanto falta para el equilibrio</t>
        </is>
      </c>
    </row>
    <row r="46">
      <c r="A46" s="5" t="inlineStr">
        <is>
          <t>Metrica</t>
        </is>
      </c>
      <c r="B46" s="5" t="inlineStr">
        <is>
          <t>Valor</t>
        </is>
      </c>
      <c r="C46" s="5" t="inlineStr"/>
      <c r="D46" s="5" t="inlineStr"/>
      <c r="E46" s="5" t="inlineStr">
        <is>
          <t>Unidad</t>
        </is>
      </c>
      <c r="F46" s="5" t="inlineStr">
        <is>
          <t>Nota</t>
        </is>
      </c>
    </row>
    <row r="47">
      <c r="A47" s="4" t="inlineStr">
        <is>
          <t>Contribucion media por cliente</t>
        </is>
      </c>
      <c r="B47" s="28">
        <f>IFERROR((B6*('Unit_Economics'!E5-'Unit_Economics'!E13-'Unit_Economics'!E15-'Unit_Economics'!E16)+B7*('Unit_Economics'!F5-'Unit_Economics'!F13-'Unit_Economics'!F15-'Unit_Economics'!F16)+B8*('Unit_Economics'!G5-'Unit_Economics'!G13-'Unit_Economics'!G15-'Unit_Economics'!G16))/B9,"")</f>
        <v/>
      </c>
      <c r="E47" s="19" t="inlineStr">
        <is>
          <t>€/mes</t>
        </is>
      </c>
      <c r="F47" s="22" t="inlineStr">
        <is>
          <t>Con la mezcla exacta de clientes que has escrito</t>
        </is>
      </c>
    </row>
    <row r="48">
      <c r="A48" s="4" t="inlineStr">
        <is>
          <t>Clientes actuales</t>
        </is>
      </c>
      <c r="B48" s="29">
        <f>B9</f>
        <v/>
      </c>
      <c r="E48" s="19" t="inlineStr">
        <is>
          <t>clientes</t>
        </is>
      </c>
      <c r="F48" s="22" t="inlineStr">
        <is>
          <t>La suma de las tres celdas naranjas</t>
        </is>
      </c>
    </row>
    <row r="49">
      <c r="A49" s="4" t="inlineStr">
        <is>
          <t>Clientes para equilibrio</t>
        </is>
      </c>
      <c r="B49" s="30">
        <f>IFERROR(ROUNDUP($B$33/$B$47,0),"")</f>
        <v/>
      </c>
      <c r="E49" s="19" t="inlineStr">
        <is>
          <t>clientes</t>
        </is>
      </c>
      <c r="F49" s="22" t="inlineStr">
        <is>
          <t>Manteniendo esa misma mezcla de planes</t>
        </is>
      </c>
    </row>
    <row r="50">
      <c r="A50" s="4" t="inlineStr">
        <is>
          <t>Faltan</t>
        </is>
      </c>
      <c r="B50" s="30">
        <f>IFERROR(MAX(0,B49-B48),"")</f>
        <v/>
      </c>
      <c r="E50" s="19" t="inlineStr">
        <is>
          <t>clientes</t>
        </is>
      </c>
      <c r="F50" s="22" t="inlineStr">
        <is>
          <t>Cero significa que ya estas por encima</t>
        </is>
      </c>
    </row>
    <row r="51">
      <c r="A51" s="4" t="inlineStr">
        <is>
          <t>Sobran</t>
        </is>
      </c>
      <c r="B51" s="29">
        <f>IFERROR(MAX(0,B48-B49),"")</f>
        <v/>
      </c>
      <c r="E51" s="19" t="inlineStr">
        <is>
          <t>clientes</t>
        </is>
      </c>
      <c r="F51" s="22" t="inlineStr">
        <is>
          <t>Clientes por encima del equilibrio</t>
        </is>
      </c>
    </row>
    <row r="52">
      <c r="A52" s="4" t="inlineStr">
        <is>
          <t>Veredicto</t>
        </is>
      </c>
      <c r="B52" s="31">
        <f>IF(B48=0,"Escribe cuantos clientes tienes arriba",IF(B42&gt;=0,"Por encima del equilibrio: la empresa gana dinero","Por debajo del equilibrio: cada mes se consume caja"))</f>
        <v/>
      </c>
      <c r="E52" s="19" t="inlineStr"/>
      <c r="F52" s="22" t="inlineStr">
        <is>
          <t>Se recalcula solo</t>
        </is>
      </c>
    </row>
    <row r="54">
      <c r="A54" s="22" t="inlineStr">
        <is>
          <t>Prueba a escribir 66, 42 y 12: es el reparto del equilibrio con el mix previsto. Despues cambia una sola cifra y mira que pasa con el resultado. Diez clientes Premium mas mueven mucho mas la aguja que diez Autonomos, y esa es toda la conversacion comercial resumida en una celda.</t>
        </is>
      </c>
    </row>
    <row r="55"/>
    <row r="56"/>
  </sheetData>
  <mergeCells count="9">
    <mergeCell ref="A2:F2"/>
    <mergeCell ref="A11:F11"/>
    <mergeCell ref="A28:F28"/>
    <mergeCell ref="A54:F56"/>
    <mergeCell ref="A1:F1"/>
    <mergeCell ref="A45:F45"/>
    <mergeCell ref="A22:F22"/>
    <mergeCell ref="A35:F35"/>
    <mergeCell ref="A4:F4"/>
  </mergeCells>
  <conditionalFormatting sqref="B42:E42">
    <cfRule type="cellIs" priority="1" operator="lessThan" dxfId="0">
      <formula>0</formula>
    </cfRule>
    <cfRule type="cellIs" priority="2" operator="greaterThanOrEqual" dxfId="1">
      <formula>0</formula>
    </cfRule>
  </conditionalFormatting>
  <pageMargins left="0.75" right="0.75" top="1" bottom="1" header="0.5" footer="0.5"/>
</worksheet>
</file>

<file path=xl/worksheets/sheet3.xml><?xml version="1.0" encoding="utf-8"?>
<worksheet xmlns="http://schemas.openxmlformats.org/spreadsheetml/2006/main">
  <sheetPr>
    <tabColor rgb="FF14463B"/>
    <outlinePr summaryBelow="1" summaryRight="1"/>
    <pageSetUpPr/>
  </sheetPr>
  <dimension ref="A1:F44"/>
  <sheetViews>
    <sheetView showGridLines="0"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8" customWidth="1" min="5" max="5"/>
    <col width="42" customWidth="1" min="6" max="6"/>
  </cols>
  <sheetData>
    <row r="1" ht="26" customHeight="1">
      <c r="A1" s="1" t="inlineStr">
        <is>
          <t>Supuestos</t>
        </is>
      </c>
    </row>
    <row r="2" ht="30" customHeight="1">
      <c r="A2" s="2" t="inlineStr">
        <is>
          <t>Celdas azules = entradas editables. Cambiar aqui recalcula todo el libro. Cada driver lleva fecha y fuente; los marcados como Supuesto no estan verificados.</t>
        </is>
      </c>
    </row>
    <row r="4">
      <c r="A4" s="3" t="inlineStr">
        <is>
          <t>Supuestos por plan</t>
        </is>
      </c>
    </row>
    <row r="5">
      <c r="A5" s="5" t="inlineStr">
        <is>
          <t>Driver</t>
        </is>
      </c>
      <c r="B5" s="5" t="inlineStr">
        <is>
          <t>Autonomo</t>
        </is>
      </c>
      <c r="C5" s="5" t="inlineStr">
        <is>
          <t>Negocio</t>
        </is>
      </c>
      <c r="D5" s="5" t="inlineStr">
        <is>
          <t>Premium</t>
        </is>
      </c>
      <c r="E5" s="5" t="inlineStr">
        <is>
          <t>Unidad</t>
        </is>
      </c>
      <c r="F5" s="5" t="inlineStr">
        <is>
          <t>Fuente / criterio</t>
        </is>
      </c>
    </row>
    <row r="6">
      <c r="A6" s="4" t="inlineStr">
        <is>
          <t>Precio actual</t>
        </is>
      </c>
      <c r="B6" s="32" t="n">
        <v>29</v>
      </c>
      <c r="C6" s="32" t="n">
        <v>39</v>
      </c>
      <c r="D6" s="32" t="n">
        <v>79</v>
      </c>
      <c r="E6" s="19" t="inlineStr">
        <is>
          <t>€/mes + IVA</t>
        </is>
      </c>
      <c r="F6" s="19" t="inlineStr">
        <is>
          <t>Catalogo anterior</t>
        </is>
      </c>
    </row>
    <row r="7">
      <c r="A7" s="4" t="inlineStr">
        <is>
          <t>Precio adoptado</t>
        </is>
      </c>
      <c r="B7" s="32" t="n">
        <v>29</v>
      </c>
      <c r="C7" s="32" t="n">
        <v>49</v>
      </c>
      <c r="D7" s="32" t="n">
        <v>99</v>
      </c>
      <c r="E7" s="19" t="inlineStr">
        <is>
          <t>€/mes + IVA</t>
        </is>
      </c>
      <c r="F7" s="19" t="inlineStr">
        <is>
          <t>Recomendacion de unit economics</t>
        </is>
      </c>
    </row>
    <row r="8">
      <c r="A8" s="4" t="inlineStr">
        <is>
          <t>Mix de clientes</t>
        </is>
      </c>
      <c r="B8" s="33" t="n">
        <v>0.55</v>
      </c>
      <c r="C8" s="33" t="n">
        <v>0.35</v>
      </c>
      <c r="D8" s="33" t="n">
        <v>0.1</v>
      </c>
      <c r="E8" s="19" t="inlineStr">
        <is>
          <t>%</t>
        </is>
      </c>
      <c r="F8" s="19" t="inlineStr">
        <is>
          <t>Supuesto de escala</t>
        </is>
      </c>
    </row>
    <row r="9">
      <c r="A9" s="4" t="inlineStr">
        <is>
          <t>Creditos avanzados incluidos</t>
        </is>
      </c>
      <c r="B9" s="34" t="n">
        <v>75</v>
      </c>
      <c r="C9" s="34" t="n">
        <v>300</v>
      </c>
      <c r="D9" s="34" t="n">
        <v>1500</v>
      </c>
      <c r="E9" s="19" t="inlineStr">
        <is>
          <t>acciones/mes</t>
        </is>
      </c>
      <c r="F9" s="19" t="inlineStr">
        <is>
          <t>Catalogo actual</t>
        </is>
      </c>
    </row>
    <row r="10">
      <c r="A10" s="4" t="inlineStr">
        <is>
          <t>Uso esperado del limite</t>
        </is>
      </c>
      <c r="B10" s="33" t="n">
        <v>0.35</v>
      </c>
      <c r="C10" s="33" t="n">
        <v>0.4</v>
      </c>
      <c r="D10" s="33" t="n">
        <v>0.25</v>
      </c>
      <c r="E10" s="19" t="inlineStr">
        <is>
          <t>%</t>
        </is>
      </c>
      <c r="F10" s="19" t="inlineStr">
        <is>
          <t>Supuesto conservador</t>
        </is>
      </c>
    </row>
    <row r="11">
      <c r="A11" s="4" t="inlineStr">
        <is>
          <t>Resolucion por cerebro interno</t>
        </is>
      </c>
      <c r="B11" s="33" t="n">
        <v>0.6</v>
      </c>
      <c r="C11" s="33" t="n">
        <v>0.6</v>
      </c>
      <c r="D11" s="33" t="n">
        <v>0.6</v>
      </c>
      <c r="E11" s="19" t="inlineStr">
        <is>
          <t>%</t>
        </is>
      </c>
      <c r="F11" s="19" t="inlineStr">
        <is>
          <t>Objetivo tras piloto</t>
        </is>
      </c>
    </row>
    <row r="12">
      <c r="A12" s="4" t="inlineStr">
        <is>
          <t>WhatsApp utility enviados</t>
        </is>
      </c>
      <c r="B12" s="34" t="n">
        <v>30</v>
      </c>
      <c r="C12" s="34" t="n">
        <v>80</v>
      </c>
      <c r="D12" s="34" t="n">
        <v>200</v>
      </c>
      <c r="E12" s="19" t="inlineStr">
        <is>
          <t>mensajes/mes</t>
        </is>
      </c>
      <c r="F12" s="19" t="inlineStr">
        <is>
          <t>Supuesto operativo</t>
        </is>
      </c>
    </row>
    <row r="13">
      <c r="A13" s="4" t="inlineStr">
        <is>
          <t>WhatsApp service recibidos</t>
        </is>
      </c>
      <c r="B13" s="34" t="n">
        <v>100</v>
      </c>
      <c r="C13" s="34" t="n">
        <v>300</v>
      </c>
      <c r="D13" s="34" t="n">
        <v>1000</v>
      </c>
      <c r="E13" s="19" t="inlineStr">
        <is>
          <t>mensajes/mes</t>
        </is>
      </c>
      <c r="F13" s="19" t="inlineStr">
        <is>
          <t>Gratis hoy; sensibilidad futura</t>
        </is>
      </c>
    </row>
    <row r="14">
      <c r="A14" s="4" t="inlineStr">
        <is>
          <t>Audio transcrito</t>
        </is>
      </c>
      <c r="B14" s="34" t="n">
        <v>15</v>
      </c>
      <c r="C14" s="34" t="n">
        <v>60</v>
      </c>
      <c r="D14" s="34" t="n">
        <v>200</v>
      </c>
      <c r="E14" s="19" t="inlineStr">
        <is>
          <t>min/mes</t>
        </is>
      </c>
      <c r="F14" s="19" t="inlineStr">
        <is>
          <t>Supuesto operativo</t>
        </is>
      </c>
    </row>
    <row r="15">
      <c r="A15" s="4" t="inlineStr">
        <is>
          <t>Documentos procesados</t>
        </is>
      </c>
      <c r="B15" s="34" t="n">
        <v>15</v>
      </c>
      <c r="C15" s="34" t="n">
        <v>50</v>
      </c>
      <c r="D15" s="34" t="n">
        <v>200</v>
      </c>
      <c r="E15" s="19" t="inlineStr">
        <is>
          <t>docs/mes</t>
        </is>
      </c>
      <c r="F15" s="19" t="inlineStr">
        <is>
          <t>Supuesto operativo</t>
        </is>
      </c>
    </row>
    <row r="16">
      <c r="A16" s="4" t="inlineStr">
        <is>
          <t>Documentos que escalan fuera</t>
        </is>
      </c>
      <c r="B16" s="33" t="n">
        <v>0.2</v>
      </c>
      <c r="C16" s="33" t="n">
        <v>0.2</v>
      </c>
      <c r="D16" s="33" t="n">
        <v>0.2</v>
      </c>
      <c r="E16" s="19" t="inlineStr">
        <is>
          <t>%</t>
        </is>
      </c>
      <c r="F16" s="19" t="inlineStr">
        <is>
          <t>OCR local primero</t>
        </is>
      </c>
    </row>
    <row r="17">
      <c r="A17" s="4" t="inlineStr">
        <is>
          <t>Almacenamiento</t>
        </is>
      </c>
      <c r="B17" s="35" t="n">
        <v>0.25</v>
      </c>
      <c r="C17" s="35" t="n">
        <v>1</v>
      </c>
      <c r="D17" s="35" t="n">
        <v>3</v>
      </c>
      <c r="E17" s="19" t="inlineStr">
        <is>
          <t>GB/cuenta</t>
        </is>
      </c>
      <c r="F17" s="19" t="inlineStr">
        <is>
          <t>Supuesto operativo</t>
        </is>
      </c>
    </row>
    <row r="18">
      <c r="A18" s="4" t="inlineStr">
        <is>
          <t>Voz telefonica incluida</t>
        </is>
      </c>
      <c r="B18" s="34" t="n">
        <v>0</v>
      </c>
      <c r="C18" s="34" t="n">
        <v>0</v>
      </c>
      <c r="D18" s="34" t="n">
        <v>100</v>
      </c>
      <c r="E18" s="19" t="inlineStr">
        <is>
          <t>min/mes</t>
        </is>
      </c>
      <c r="F18" s="19" t="inlineStr">
        <is>
          <t>Promesa Premium actual</t>
        </is>
      </c>
    </row>
    <row r="19">
      <c r="A19" s="4" t="inlineStr">
        <is>
          <t>Soporte humano</t>
        </is>
      </c>
      <c r="B19" s="34" t="n">
        <v>12</v>
      </c>
      <c r="C19" s="34" t="n">
        <v>20</v>
      </c>
      <c r="D19" s="34" t="n">
        <v>45</v>
      </c>
      <c r="E19" s="19" t="inlineStr">
        <is>
          <t>min/cuenta/mes</t>
        </is>
      </c>
      <c r="F19" s="19" t="inlineStr">
        <is>
          <t>Supuesto de servicio</t>
        </is>
      </c>
    </row>
    <row r="20">
      <c r="A20" s="4" t="inlineStr">
        <is>
          <t>Onboarding inicial</t>
        </is>
      </c>
      <c r="B20" s="34" t="n">
        <v>30</v>
      </c>
      <c r="C20" s="34" t="n">
        <v>60</v>
      </c>
      <c r="D20" s="34" t="n">
        <v>120</v>
      </c>
      <c r="E20" s="19" t="inlineStr">
        <is>
          <t>min/cuenta</t>
        </is>
      </c>
      <c r="F20" s="19" t="inlineStr">
        <is>
          <t>Amortizado en 12 meses</t>
        </is>
      </c>
    </row>
    <row r="23">
      <c r="A23" s="3" t="inlineStr">
        <is>
          <t>Supuestos globales</t>
        </is>
      </c>
    </row>
    <row r="24">
      <c r="A24" s="5" t="inlineStr">
        <is>
          <t>Driver</t>
        </is>
      </c>
      <c r="B24" s="5" t="inlineStr">
        <is>
          <t>Valor</t>
        </is>
      </c>
      <c r="C24" s="5" t="inlineStr">
        <is>
          <t>Unidad</t>
        </is>
      </c>
      <c r="D24" s="5" t="inlineStr">
        <is>
          <t>Fecha</t>
        </is>
      </c>
      <c r="E24" s="5" t="inlineStr">
        <is>
          <t>Fuente</t>
        </is>
      </c>
      <c r="F24" s="5" t="inlineStr">
        <is>
          <t>Nota</t>
        </is>
      </c>
    </row>
    <row r="25">
      <c r="A25" s="4" t="inlineStr">
        <is>
          <t>EUR por USD</t>
        </is>
      </c>
      <c r="B25" s="36" t="n">
        <v>0.8768084173608066</v>
      </c>
      <c r="C25" s="19" t="inlineStr">
        <is>
          <t>EUR/USD</t>
        </is>
      </c>
      <c r="D25" s="19" t="inlineStr">
        <is>
          <t>14/07/2026</t>
        </is>
      </c>
      <c r="E25" s="19" t="inlineStr">
        <is>
          <t>ECB</t>
        </is>
      </c>
      <c r="F25" s="19" t="inlineStr">
        <is>
          <t>1 EUR = 1,1405 USD</t>
        </is>
      </c>
    </row>
    <row r="26">
      <c r="A26" s="4" t="inlineStr">
        <is>
          <t>Stripe Payments</t>
        </is>
      </c>
      <c r="B26" s="37" t="n">
        <v>0.015</v>
      </c>
      <c r="C26" s="19" t="inlineStr">
        <is>
          <t>% ingreso</t>
        </is>
      </c>
      <c r="D26" s="19" t="inlineStr">
        <is>
          <t>15/07/2026</t>
        </is>
      </c>
      <c r="E26" s="19" t="inlineStr">
        <is>
          <t>Stripe</t>
        </is>
      </c>
      <c r="F26" s="19" t="inlineStr">
        <is>
          <t>Tarjeta EEE estandar</t>
        </is>
      </c>
    </row>
    <row r="27">
      <c r="A27" s="4" t="inlineStr">
        <is>
          <t>Stripe Billing</t>
        </is>
      </c>
      <c r="B27" s="37" t="n">
        <v>0.007</v>
      </c>
      <c r="C27" s="19" t="inlineStr">
        <is>
          <t>% ingreso</t>
        </is>
      </c>
      <c r="D27" s="19" t="inlineStr">
        <is>
          <t>15/07/2026</t>
        </is>
      </c>
      <c r="E27" s="19" t="inlineStr">
        <is>
          <t>Stripe</t>
        </is>
      </c>
      <c r="F27" s="19" t="inlineStr">
        <is>
          <t>Pago por uso</t>
        </is>
      </c>
    </row>
    <row r="28">
      <c r="A28" s="4" t="inlineStr">
        <is>
          <t>Stripe fijo</t>
        </is>
      </c>
      <c r="B28" s="32" t="n">
        <v>0.25</v>
      </c>
      <c r="C28" s="19" t="inlineStr">
        <is>
          <t>€/transaccion</t>
        </is>
      </c>
      <c r="D28" s="19" t="inlineStr">
        <is>
          <t>15/07/2026</t>
        </is>
      </c>
      <c r="E28" s="19" t="inlineStr">
        <is>
          <t>Stripe</t>
        </is>
      </c>
      <c r="F28" s="19" t="inlineStr">
        <is>
          <t>Una renovacion mensual</t>
        </is>
      </c>
    </row>
    <row r="29">
      <c r="A29" s="4" t="inlineStr">
        <is>
          <t>WhatsApp utility Espana</t>
        </is>
      </c>
      <c r="B29" s="36" t="n">
        <v>0.0166</v>
      </c>
      <c r="C29" s="19" t="inlineStr">
        <is>
          <t>€/mensaje</t>
        </is>
      </c>
      <c r="D29" s="19" t="inlineStr">
        <is>
          <t>15/07/2026</t>
        </is>
      </c>
      <c r="E29" s="19" t="inlineStr">
        <is>
          <t>Meta / rate card</t>
        </is>
      </c>
      <c r="F29" s="19" t="inlineStr">
        <is>
          <t>Mensaje entregado</t>
        </is>
      </c>
    </row>
    <row r="30">
      <c r="A30" s="4" t="inlineStr">
        <is>
          <t>WhatsApp service futuro</t>
        </is>
      </c>
      <c r="B30" s="36" t="n">
        <v>0.0166</v>
      </c>
      <c r="C30" s="19" t="inlineStr">
        <is>
          <t>€/mensaje</t>
        </is>
      </c>
      <c r="D30" s="19" t="inlineStr">
        <is>
          <t>15/07/2026</t>
        </is>
      </c>
      <c r="E30" s="19" t="inlineStr">
        <is>
          <t>Sensibilidad</t>
        </is>
      </c>
      <c r="F30" s="19" t="inlineStr">
        <is>
          <t>Actualmente 0 €</t>
        </is>
      </c>
    </row>
    <row r="31">
      <c r="A31" s="4" t="inlineStr">
        <is>
          <t>Haiku 4.5 por interaccion</t>
        </is>
      </c>
      <c r="B31" s="36" t="n">
        <v>0.014</v>
      </c>
      <c r="C31" s="19" t="inlineStr">
        <is>
          <t>USD/interaccion</t>
        </is>
      </c>
      <c r="D31" s="19" t="inlineStr">
        <is>
          <t>15/07/2026</t>
        </is>
      </c>
      <c r="E31" s="19" t="inlineStr">
        <is>
          <t>Anthropic</t>
        </is>
      </c>
      <c r="F31" s="19" t="inlineStr">
        <is>
          <t>8k input + 1,2k output</t>
        </is>
      </c>
    </row>
    <row r="32">
      <c r="A32" s="4" t="inlineStr">
        <is>
          <t>Qwen3 32B por interaccion</t>
        </is>
      </c>
      <c r="B32" s="38" t="n">
        <v>0.003028</v>
      </c>
      <c r="C32" s="19" t="inlineStr">
        <is>
          <t>USD/interaccion</t>
        </is>
      </c>
      <c r="D32" s="19" t="inlineStr">
        <is>
          <t>15/07/2026</t>
        </is>
      </c>
      <c r="E32" s="19" t="inlineStr">
        <is>
          <t>Groq</t>
        </is>
      </c>
      <c r="F32" s="19" t="inlineStr">
        <is>
          <t>Mismo supuesto de tokens</t>
        </is>
      </c>
    </row>
    <row r="33">
      <c r="A33" s="4" t="inlineStr">
        <is>
          <t>Peso Qwen en fallback</t>
        </is>
      </c>
      <c r="B33" s="39" t="n">
        <v>0.8</v>
      </c>
      <c r="C33" s="19" t="inlineStr">
        <is>
          <t>%</t>
        </is>
      </c>
      <c r="D33" s="19" t="inlineStr">
        <is>
          <t>15/07/2026</t>
        </is>
      </c>
      <c r="E33" s="19" t="inlineStr">
        <is>
          <t>Arquitectura hibrida</t>
        </is>
      </c>
      <c r="F33" s="19" t="inlineStr">
        <is>
          <t>Resto Haiku</t>
        </is>
      </c>
    </row>
    <row r="34">
      <c r="A34" s="4" t="inlineStr">
        <is>
          <t>Whisper Turbo</t>
        </is>
      </c>
      <c r="B34" s="40" t="n">
        <v>0.04</v>
      </c>
      <c r="C34" s="19" t="inlineStr">
        <is>
          <t>USD/hora</t>
        </is>
      </c>
      <c r="D34" s="19" t="inlineStr">
        <is>
          <t>15/07/2026</t>
        </is>
      </c>
      <c r="E34" s="19" t="inlineStr">
        <is>
          <t>Groq</t>
        </is>
      </c>
      <c r="F34" s="19" t="inlineStr">
        <is>
          <t>Solo transcripcion</t>
        </is>
      </c>
    </row>
    <row r="35">
      <c r="A35" s="4" t="inlineStr">
        <is>
          <t>Extraccion externa documento</t>
        </is>
      </c>
      <c r="B35" s="40" t="n">
        <v>0.012</v>
      </c>
      <c r="C35" s="19" t="inlineStr">
        <is>
          <t>€/documento</t>
        </is>
      </c>
      <c r="D35" s="19" t="inlineStr">
        <is>
          <t>15/07/2026</t>
        </is>
      </c>
      <c r="E35" s="19" t="inlineStr">
        <is>
          <t>Supuesto</t>
        </is>
      </c>
      <c r="F35" s="19" t="inlineStr">
        <is>
          <t>Validar con corpus real</t>
        </is>
      </c>
    </row>
    <row r="36">
      <c r="A36" s="4" t="inlineStr">
        <is>
          <t>Object storage</t>
        </is>
      </c>
      <c r="B36" s="40" t="n">
        <v>0.015</v>
      </c>
      <c r="C36" s="19" t="inlineStr">
        <is>
          <t>USD/GB-mes</t>
        </is>
      </c>
      <c r="D36" s="19" t="inlineStr">
        <is>
          <t>15/07/2026</t>
        </is>
      </c>
      <c r="E36" s="19" t="inlineStr">
        <is>
          <t>Railway</t>
        </is>
      </c>
      <c r="F36" s="19" t="inlineStr">
        <is>
          <t>Sin egress</t>
        </is>
      </c>
    </row>
    <row r="37">
      <c r="A37" s="4" t="inlineStr">
        <is>
          <t>Voz agente</t>
        </is>
      </c>
      <c r="B37" s="41" t="n">
        <v>0.11</v>
      </c>
      <c r="C37" s="19" t="inlineStr">
        <is>
          <t>USD/min</t>
        </is>
      </c>
      <c r="D37" s="19" t="inlineStr">
        <is>
          <t>15/07/2026</t>
        </is>
      </c>
      <c r="E37" s="19" t="inlineStr">
        <is>
          <t>Retell</t>
        </is>
      </c>
      <c r="F37" s="19" t="inlineStr">
        <is>
          <t>Ejemplo de calculadora</t>
        </is>
      </c>
    </row>
    <row r="38">
      <c r="A38" s="4" t="inlineStr">
        <is>
          <t>Numero telefonico voz</t>
        </is>
      </c>
      <c r="B38" s="41" t="n">
        <v>2</v>
      </c>
      <c r="C38" s="19" t="inlineStr">
        <is>
          <t>USD/mes</t>
        </is>
      </c>
      <c r="D38" s="19" t="inlineStr">
        <is>
          <t>15/07/2026</t>
        </is>
      </c>
      <c r="E38" s="19" t="inlineStr">
        <is>
          <t>Retell</t>
        </is>
      </c>
      <c r="F38" s="19" t="inlineStr">
        <is>
          <t>Solo plan Premium</t>
        </is>
      </c>
    </row>
    <row r="39">
      <c r="A39" s="4" t="inlineStr">
        <is>
          <t>Coste hora soporte</t>
        </is>
      </c>
      <c r="B39" s="32" t="n">
        <v>25</v>
      </c>
      <c r="C39" s="19" t="inlineStr">
        <is>
          <t>€/hora</t>
        </is>
      </c>
      <c r="D39" s="19" t="inlineStr">
        <is>
          <t>15/07/2026</t>
        </is>
      </c>
      <c r="E39" s="19" t="inlineStr">
        <is>
          <t>Supuesto</t>
        </is>
      </c>
      <c r="F39" s="19" t="inlineStr">
        <is>
          <t>Coste empresa cargado</t>
        </is>
      </c>
    </row>
    <row r="40">
      <c r="A40" s="4" t="inlineStr">
        <is>
          <t>Plataforma fija</t>
        </is>
      </c>
      <c r="B40" s="32" t="n">
        <v>65</v>
      </c>
      <c r="C40" s="19" t="inlineStr">
        <is>
          <t>€/mes</t>
        </is>
      </c>
      <c r="D40" s="19" t="inlineStr">
        <is>
          <t>15/07/2026</t>
        </is>
      </c>
      <c r="E40" s="19" t="inlineStr">
        <is>
          <t>Supuesto</t>
        </is>
      </c>
      <c r="F40" s="19" t="inlineStr">
        <is>
          <t>App, email y backups minimos</t>
        </is>
      </c>
    </row>
    <row r="41">
      <c r="A41" s="4" t="inlineStr">
        <is>
          <t>Opex fijo para break-even</t>
        </is>
      </c>
      <c r="B41" s="42" t="n">
        <v>3500</v>
      </c>
      <c r="C41" s="19" t="inlineStr">
        <is>
          <t>€/mes</t>
        </is>
      </c>
      <c r="D41" s="19" t="inlineStr">
        <is>
          <t>15/07/2026</t>
        </is>
      </c>
      <c r="E41" s="43" t="inlineStr">
        <is>
          <t>SUPUESTO</t>
        </is>
      </c>
      <c r="F41" s="19" t="inlineStr">
        <is>
          <t>Founder, legal, herramientas, reserva. Sustituir por el real</t>
        </is>
      </c>
    </row>
    <row r="42">
      <c r="A42" s="4" t="inlineStr">
        <is>
          <t>CAC inicial</t>
        </is>
      </c>
      <c r="B42" s="42" t="n">
        <v>150</v>
      </c>
      <c r="C42" s="19" t="inlineStr">
        <is>
          <t>€/cliente</t>
        </is>
      </c>
      <c r="D42" s="19" t="inlineStr">
        <is>
          <t>15/07/2026</t>
        </is>
      </c>
      <c r="E42" s="43" t="inlineStr">
        <is>
          <t>SUPUESTO</t>
        </is>
      </c>
      <c r="F42" s="19" t="inlineStr">
        <is>
          <t>Validar durante piloto</t>
        </is>
      </c>
    </row>
    <row r="43">
      <c r="A43" s="4" t="inlineStr">
        <is>
          <t>IVA Espana</t>
        </is>
      </c>
      <c r="B43" s="39" t="n">
        <v>0.21</v>
      </c>
      <c r="C43" s="19" t="inlineStr">
        <is>
          <t>%</t>
        </is>
      </c>
      <c r="D43" s="19" t="inlineStr">
        <is>
          <t>15/07/2026</t>
        </is>
      </c>
      <c r="E43" s="19" t="inlineStr">
        <is>
          <t>AEAT</t>
        </is>
      </c>
      <c r="F43" s="19" t="inlineStr">
        <is>
          <t>El precio se comunica + IVA</t>
        </is>
      </c>
    </row>
    <row r="44">
      <c r="A44" s="4" t="inlineStr">
        <is>
          <t>Cuentas para repartir fijo</t>
        </is>
      </c>
      <c r="B44" s="34" t="n">
        <v>100</v>
      </c>
      <c r="C44" s="19" t="inlineStr">
        <is>
          <t>cuentas</t>
        </is>
      </c>
      <c r="D44" s="19" t="inlineStr">
        <is>
          <t>15/07/2026</t>
        </is>
      </c>
      <c r="E44" s="19" t="inlineStr">
        <is>
          <t>Escenario base</t>
        </is>
      </c>
      <c r="F44" s="19" t="inlineStr">
        <is>
          <t>Solo unit economics por plan</t>
        </is>
      </c>
    </row>
  </sheetData>
  <mergeCells count="4">
    <mergeCell ref="A2:F2"/>
    <mergeCell ref="A1:F1"/>
    <mergeCell ref="A23:F23"/>
    <mergeCell ref="A4:F4"/>
  </mergeCells>
  <pageMargins left="0.75" right="0.75" top="1" bottom="1" header="0.5" footer="0.5"/>
</worksheet>
</file>

<file path=xl/worksheets/sheet4.xml><?xml version="1.0" encoding="utf-8"?>
<worksheet xmlns="http://schemas.openxmlformats.org/spreadsheetml/2006/main">
  <sheetPr>
    <tabColor rgb="FF14463B"/>
    <outlinePr summaryBelow="1" summaryRight="1"/>
    <pageSetUpPr/>
  </sheetPr>
  <dimension ref="A1:H23"/>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2" customWidth="1" min="8" max="8"/>
  </cols>
  <sheetData>
    <row r="1" ht="26" customHeight="1">
      <c r="A1" s="1" t="inlineStr">
        <is>
          <t>Unit economics por plan</t>
        </is>
      </c>
    </row>
    <row r="2" ht="30" customHeight="1">
      <c r="A2" s="2" t="inlineStr">
        <is>
          <t>Escenario base hibrido: cerebro interno resuelve el 60%; del resto, 80% Qwen y 20% Haiku. Columnas B-D = catalogo anterior (29/39/79). Columnas E-G = catalogo adoptado (29/49/99).</t>
        </is>
      </c>
    </row>
    <row r="4">
      <c r="A4" s="5" t="inlineStr">
        <is>
          <t>Metrica</t>
        </is>
      </c>
      <c r="B4" s="5" t="inlineStr">
        <is>
          <t>Autonomo ant.</t>
        </is>
      </c>
      <c r="C4" s="5" t="inlineStr">
        <is>
          <t>Negocio ant.</t>
        </is>
      </c>
      <c r="D4" s="5" t="inlineStr">
        <is>
          <t>Premium ant.</t>
        </is>
      </c>
      <c r="E4" s="5" t="inlineStr">
        <is>
          <t>Autonomo adop.</t>
        </is>
      </c>
      <c r="F4" s="5" t="inlineStr">
        <is>
          <t>Negocio adop.</t>
        </is>
      </c>
      <c r="G4" s="5" t="inlineStr">
        <is>
          <t>Premium adop.</t>
        </is>
      </c>
      <c r="H4" s="5" t="inlineStr">
        <is>
          <t>Unidad</t>
        </is>
      </c>
    </row>
    <row r="5">
      <c r="A5" s="4" t="inlineStr">
        <is>
          <t>Precio neto</t>
        </is>
      </c>
      <c r="B5" s="28">
        <f>'Supuestos'!B$6</f>
        <v/>
      </c>
      <c r="C5" s="28">
        <f>'Supuestos'!C$6</f>
        <v/>
      </c>
      <c r="D5" s="28">
        <f>'Supuestos'!D$6</f>
        <v/>
      </c>
      <c r="E5" s="28">
        <f>'Supuestos'!B$7</f>
        <v/>
      </c>
      <c r="F5" s="28">
        <f>'Supuestos'!C$7</f>
        <v/>
      </c>
      <c r="G5" s="28">
        <f>'Supuestos'!D$7</f>
        <v/>
      </c>
      <c r="H5" s="19" t="inlineStr">
        <is>
          <t>€/mes</t>
        </is>
      </c>
    </row>
    <row r="6">
      <c r="A6" s="4" t="inlineStr">
        <is>
          <t>Stripe</t>
        </is>
      </c>
      <c r="B6" s="28">
        <f>B5*('Supuestos'!$B$26+'Supuestos'!$B$27)+'Supuestos'!$B$28</f>
        <v/>
      </c>
      <c r="C6" s="28">
        <f>C5*('Supuestos'!$B$26+'Supuestos'!$B$27)+'Supuestos'!$B$28</f>
        <v/>
      </c>
      <c r="D6" s="28">
        <f>D5*('Supuestos'!$B$26+'Supuestos'!$B$27)+'Supuestos'!$B$28</f>
        <v/>
      </c>
      <c r="E6" s="28">
        <f>E5*('Supuestos'!$B$26+'Supuestos'!$B$27)+'Supuestos'!$B$28</f>
        <v/>
      </c>
      <c r="F6" s="28">
        <f>F5*('Supuestos'!$B$26+'Supuestos'!$B$27)+'Supuestos'!$B$28</f>
        <v/>
      </c>
      <c r="G6" s="28">
        <f>G5*('Supuestos'!$B$26+'Supuestos'!$B$27)+'Supuestos'!$B$28</f>
        <v/>
      </c>
      <c r="H6" s="19" t="inlineStr">
        <is>
          <t>€/mes</t>
        </is>
      </c>
    </row>
    <row r="7">
      <c r="A7" s="4" t="inlineStr">
        <is>
          <t>WhatsApp utility</t>
        </is>
      </c>
      <c r="B7" s="28">
        <f>'Supuestos'!B$12*'Supuestos'!$B$29</f>
        <v/>
      </c>
      <c r="C7" s="28">
        <f>'Supuestos'!C$12*'Supuestos'!$B$29</f>
        <v/>
      </c>
      <c r="D7" s="28">
        <f>'Supuestos'!D$12*'Supuestos'!$B$29</f>
        <v/>
      </c>
      <c r="E7" s="28">
        <f>'Supuestos'!B$12*'Supuestos'!$B$29</f>
        <v/>
      </c>
      <c r="F7" s="28">
        <f>'Supuestos'!C$12*'Supuestos'!$B$29</f>
        <v/>
      </c>
      <c r="G7" s="28">
        <f>'Supuestos'!D$12*'Supuestos'!$B$29</f>
        <v/>
      </c>
      <c r="H7" s="19" t="inlineStr">
        <is>
          <t>€/mes</t>
        </is>
      </c>
    </row>
    <row r="8">
      <c r="A8" s="4" t="inlineStr">
        <is>
          <t>IA avanzada</t>
        </is>
      </c>
      <c r="B8" s="28">
        <f>'Supuestos'!B$9*'Supuestos'!B$10*(1-'Supuestos'!B$11)*('Supuestos'!$B$33*'Supuestos'!$B$32+(1-'Supuestos'!$B$33)*'Supuestos'!$B$31)*'Supuestos'!$B$25</f>
        <v/>
      </c>
      <c r="C8" s="28">
        <f>'Supuestos'!C$9*'Supuestos'!C$10*(1-'Supuestos'!C$11)*('Supuestos'!$B$33*'Supuestos'!$B$32+(1-'Supuestos'!$B$33)*'Supuestos'!$B$31)*'Supuestos'!$B$25</f>
        <v/>
      </c>
      <c r="D8" s="28">
        <f>'Supuestos'!D$9*'Supuestos'!D$10*(1-'Supuestos'!D$11)*('Supuestos'!$B$33*'Supuestos'!$B$32+(1-'Supuestos'!$B$33)*'Supuestos'!$B$31)*'Supuestos'!$B$25</f>
        <v/>
      </c>
      <c r="E8" s="28">
        <f>'Supuestos'!B$9*'Supuestos'!B$10*(1-'Supuestos'!B$11)*('Supuestos'!$B$33*'Supuestos'!$B$32+(1-'Supuestos'!$B$33)*'Supuestos'!$B$31)*'Supuestos'!$B$25</f>
        <v/>
      </c>
      <c r="F8" s="28">
        <f>'Supuestos'!C$9*'Supuestos'!C$10*(1-'Supuestos'!C$11)*('Supuestos'!$B$33*'Supuestos'!$B$32+(1-'Supuestos'!$B$33)*'Supuestos'!$B$31)*'Supuestos'!$B$25</f>
        <v/>
      </c>
      <c r="G8" s="28">
        <f>'Supuestos'!D$9*'Supuestos'!D$10*(1-'Supuestos'!D$11)*('Supuestos'!$B$33*'Supuestos'!$B$32+(1-'Supuestos'!$B$33)*'Supuestos'!$B$31)*'Supuestos'!$B$25</f>
        <v/>
      </c>
      <c r="H8" s="19" t="inlineStr">
        <is>
          <t>€/mes</t>
        </is>
      </c>
    </row>
    <row r="9">
      <c r="A9" s="4" t="inlineStr">
        <is>
          <t>Transcripcion</t>
        </is>
      </c>
      <c r="B9" s="28">
        <f>'Supuestos'!B$14/60*'Supuestos'!$B$34*'Supuestos'!$B$25</f>
        <v/>
      </c>
      <c r="C9" s="28">
        <f>'Supuestos'!C$14/60*'Supuestos'!$B$34*'Supuestos'!$B$25</f>
        <v/>
      </c>
      <c r="D9" s="28">
        <f>'Supuestos'!D$14/60*'Supuestos'!$B$34*'Supuestos'!$B$25</f>
        <v/>
      </c>
      <c r="E9" s="28">
        <f>'Supuestos'!B$14/60*'Supuestos'!$B$34*'Supuestos'!$B$25</f>
        <v/>
      </c>
      <c r="F9" s="28">
        <f>'Supuestos'!C$14/60*'Supuestos'!$B$34*'Supuestos'!$B$25</f>
        <v/>
      </c>
      <c r="G9" s="28">
        <f>'Supuestos'!D$14/60*'Supuestos'!$B$34*'Supuestos'!$B$25</f>
        <v/>
      </c>
      <c r="H9" s="19" t="inlineStr">
        <is>
          <t>€/mes</t>
        </is>
      </c>
    </row>
    <row r="10">
      <c r="A10" s="4" t="inlineStr">
        <is>
          <t>Extraccion externa</t>
        </is>
      </c>
      <c r="B10" s="28">
        <f>'Supuestos'!B$15*'Supuestos'!B$16*'Supuestos'!$B$35</f>
        <v/>
      </c>
      <c r="C10" s="28">
        <f>'Supuestos'!C$15*'Supuestos'!C$16*'Supuestos'!$B$35</f>
        <v/>
      </c>
      <c r="D10" s="28">
        <f>'Supuestos'!D$15*'Supuestos'!D$16*'Supuestos'!$B$35</f>
        <v/>
      </c>
      <c r="E10" s="28">
        <f>'Supuestos'!B$15*'Supuestos'!B$16*'Supuestos'!$B$35</f>
        <v/>
      </c>
      <c r="F10" s="28">
        <f>'Supuestos'!C$15*'Supuestos'!C$16*'Supuestos'!$B$35</f>
        <v/>
      </c>
      <c r="G10" s="28">
        <f>'Supuestos'!D$15*'Supuestos'!D$16*'Supuestos'!$B$35</f>
        <v/>
      </c>
      <c r="H10" s="19" t="inlineStr">
        <is>
          <t>€/mes</t>
        </is>
      </c>
    </row>
    <row r="11">
      <c r="A11" s="4" t="inlineStr">
        <is>
          <t>Almacenamiento</t>
        </is>
      </c>
      <c r="B11" s="28">
        <f>'Supuestos'!B$17*'Supuestos'!$B$36*'Supuestos'!$B$25</f>
        <v/>
      </c>
      <c r="C11" s="28">
        <f>'Supuestos'!C$17*'Supuestos'!$B$36*'Supuestos'!$B$25</f>
        <v/>
      </c>
      <c r="D11" s="28">
        <f>'Supuestos'!D$17*'Supuestos'!$B$36*'Supuestos'!$B$25</f>
        <v/>
      </c>
      <c r="E11" s="28">
        <f>'Supuestos'!B$17*'Supuestos'!$B$36*'Supuestos'!$B$25</f>
        <v/>
      </c>
      <c r="F11" s="28">
        <f>'Supuestos'!C$17*'Supuestos'!$B$36*'Supuestos'!$B$25</f>
        <v/>
      </c>
      <c r="G11" s="28">
        <f>'Supuestos'!D$17*'Supuestos'!$B$36*'Supuestos'!$B$25</f>
        <v/>
      </c>
      <c r="H11" s="19" t="inlineStr">
        <is>
          <t>€/mes</t>
        </is>
      </c>
    </row>
    <row r="12">
      <c r="A12" s="4" t="inlineStr">
        <is>
          <t>Voz Premium</t>
        </is>
      </c>
      <c r="B12" s="28">
        <f>IF('Supuestos'!B$18&gt;0,'Supuestos'!B$18*'Supuestos'!$B$37*'Supuestos'!$B$25+'Supuestos'!$B$38*'Supuestos'!$B$25,0)</f>
        <v/>
      </c>
      <c r="C12" s="28">
        <f>IF('Supuestos'!C$18&gt;0,'Supuestos'!C$18*'Supuestos'!$B$37*'Supuestos'!$B$25+'Supuestos'!$B$38*'Supuestos'!$B$25,0)</f>
        <v/>
      </c>
      <c r="D12" s="28">
        <f>IF('Supuestos'!D$18&gt;0,'Supuestos'!D$18*'Supuestos'!$B$37*'Supuestos'!$B$25+'Supuestos'!$B$38*'Supuestos'!$B$25,0)</f>
        <v/>
      </c>
      <c r="E12" s="28">
        <f>IF('Supuestos'!B$18&gt;0,'Supuestos'!B$18*'Supuestos'!$B$37*'Supuestos'!$B$25+'Supuestos'!$B$38*'Supuestos'!$B$25,0)</f>
        <v/>
      </c>
      <c r="F12" s="28">
        <f>IF('Supuestos'!C$18&gt;0,'Supuestos'!C$18*'Supuestos'!$B$37*'Supuestos'!$B$25+'Supuestos'!$B$38*'Supuestos'!$B$25,0)</f>
        <v/>
      </c>
      <c r="G12" s="28">
        <f>IF('Supuestos'!D$18&gt;0,'Supuestos'!D$18*'Supuestos'!$B$37*'Supuestos'!$B$25+'Supuestos'!$B$38*'Supuestos'!$B$25,0)</f>
        <v/>
      </c>
      <c r="H12" s="19" t="inlineStr">
        <is>
          <t>€/mes</t>
        </is>
      </c>
    </row>
    <row r="13">
      <c r="A13" s="4" t="inlineStr">
        <is>
          <t>COGS software</t>
        </is>
      </c>
      <c r="B13" s="21">
        <f>SUM(B6:B12)</f>
        <v/>
      </c>
      <c r="C13" s="21">
        <f>SUM(C6:C12)</f>
        <v/>
      </c>
      <c r="D13" s="21">
        <f>SUM(D6:D12)</f>
        <v/>
      </c>
      <c r="E13" s="21">
        <f>SUM(E6:E12)</f>
        <v/>
      </c>
      <c r="F13" s="21">
        <f>SUM(F6:F12)</f>
        <v/>
      </c>
      <c r="G13" s="21">
        <f>SUM(G6:G12)</f>
        <v/>
      </c>
      <c r="H13" s="19" t="inlineStr">
        <is>
          <t>€/mes</t>
        </is>
      </c>
    </row>
    <row r="14">
      <c r="A14" s="4" t="inlineStr">
        <is>
          <t>Margen bruto software</t>
        </is>
      </c>
      <c r="B14" s="27">
        <f>(B5-B13)/B5</f>
        <v/>
      </c>
      <c r="C14" s="27">
        <f>(C5-C13)/C5</f>
        <v/>
      </c>
      <c r="D14" s="27">
        <f>(D5-D13)/D5</f>
        <v/>
      </c>
      <c r="E14" s="27">
        <f>(E5-E13)/E5</f>
        <v/>
      </c>
      <c r="F14" s="27">
        <f>(F5-F13)/F5</f>
        <v/>
      </c>
      <c r="G14" s="27">
        <f>(G5-G13)/G5</f>
        <v/>
      </c>
      <c r="H14" s="19" t="inlineStr">
        <is>
          <t>%</t>
        </is>
      </c>
    </row>
    <row r="15">
      <c r="A15" s="4" t="inlineStr">
        <is>
          <t>Soporte humano</t>
        </is>
      </c>
      <c r="B15" s="28">
        <f>'Supuestos'!B$19/60*'Supuestos'!$B$39</f>
        <v/>
      </c>
      <c r="C15" s="28">
        <f>'Supuestos'!C$19/60*'Supuestos'!$B$39</f>
        <v/>
      </c>
      <c r="D15" s="28">
        <f>'Supuestos'!D$19/60*'Supuestos'!$B$39</f>
        <v/>
      </c>
      <c r="E15" s="28">
        <f>'Supuestos'!B$19/60*'Supuestos'!$B$39</f>
        <v/>
      </c>
      <c r="F15" s="28">
        <f>'Supuestos'!C$19/60*'Supuestos'!$B$39</f>
        <v/>
      </c>
      <c r="G15" s="28">
        <f>'Supuestos'!D$19/60*'Supuestos'!$B$39</f>
        <v/>
      </c>
      <c r="H15" s="19" t="inlineStr">
        <is>
          <t>€/mes</t>
        </is>
      </c>
    </row>
    <row r="16">
      <c r="A16" s="4" t="inlineStr">
        <is>
          <t>Onboarding amortizado</t>
        </is>
      </c>
      <c r="B16" s="28">
        <f>'Supuestos'!B$20/60*'Supuestos'!$B$39/12</f>
        <v/>
      </c>
      <c r="C16" s="28">
        <f>'Supuestos'!C$20/60*'Supuestos'!$B$39/12</f>
        <v/>
      </c>
      <c r="D16" s="28">
        <f>'Supuestos'!D$20/60*'Supuestos'!$B$39/12</f>
        <v/>
      </c>
      <c r="E16" s="28">
        <f>'Supuestos'!B$20/60*'Supuestos'!$B$39/12</f>
        <v/>
      </c>
      <c r="F16" s="28">
        <f>'Supuestos'!C$20/60*'Supuestos'!$B$39/12</f>
        <v/>
      </c>
      <c r="G16" s="28">
        <f>'Supuestos'!D$20/60*'Supuestos'!$B$39/12</f>
        <v/>
      </c>
      <c r="H16" s="19" t="inlineStr">
        <is>
          <t>€/mes</t>
        </is>
      </c>
    </row>
    <row r="17">
      <c r="A17" s="4" t="inlineStr">
        <is>
          <t>Fijo asignado</t>
        </is>
      </c>
      <c r="B17" s="28">
        <f>'Supuestos'!$B$40/'Supuestos'!$B$44</f>
        <v/>
      </c>
      <c r="C17" s="28">
        <f>'Supuestos'!$B$40/'Supuestos'!$B$44</f>
        <v/>
      </c>
      <c r="D17" s="28">
        <f>'Supuestos'!$B$40/'Supuestos'!$B$44</f>
        <v/>
      </c>
      <c r="E17" s="28">
        <f>'Supuestos'!$B$40/'Supuestos'!$B$44</f>
        <v/>
      </c>
      <c r="F17" s="28">
        <f>'Supuestos'!$B$40/'Supuestos'!$B$44</f>
        <v/>
      </c>
      <c r="G17" s="28">
        <f>'Supuestos'!$B$40/'Supuestos'!$B$44</f>
        <v/>
      </c>
      <c r="H17" s="19" t="inlineStr">
        <is>
          <t>€/mes</t>
        </is>
      </c>
    </row>
    <row r="18">
      <c r="A18" s="4" t="inlineStr">
        <is>
          <t>Contribucion</t>
        </is>
      </c>
      <c r="B18" s="21">
        <f>B5-B13-B15-B16-B17</f>
        <v/>
      </c>
      <c r="C18" s="21">
        <f>C5-C13-C15-C16-C17</f>
        <v/>
      </c>
      <c r="D18" s="21">
        <f>D5-D13-D15-D16-D17</f>
        <v/>
      </c>
      <c r="E18" s="21">
        <f>E5-E13-E15-E16-E17</f>
        <v/>
      </c>
      <c r="F18" s="21">
        <f>F5-F13-F15-F16-F17</f>
        <v/>
      </c>
      <c r="G18" s="21">
        <f>G5-G13-G15-G16-G17</f>
        <v/>
      </c>
      <c r="H18" s="19" t="inlineStr">
        <is>
          <t>€/mes</t>
        </is>
      </c>
    </row>
    <row r="19">
      <c r="A19" s="4" t="inlineStr">
        <is>
          <t>Margen de contribucion</t>
        </is>
      </c>
      <c r="B19" s="27">
        <f>B18/B5</f>
        <v/>
      </c>
      <c r="C19" s="27">
        <f>C18/C5</f>
        <v/>
      </c>
      <c r="D19" s="27">
        <f>D18/D5</f>
        <v/>
      </c>
      <c r="E19" s="27">
        <f>E18/E5</f>
        <v/>
      </c>
      <c r="F19" s="27">
        <f>F18/F5</f>
        <v/>
      </c>
      <c r="G19" s="27">
        <f>G18/G5</f>
        <v/>
      </c>
      <c r="H19" s="19" t="inlineStr">
        <is>
          <t>%</t>
        </is>
      </c>
    </row>
    <row r="20">
      <c r="A20" s="4" t="inlineStr">
        <is>
          <t>Ingreso si el precio incluyera IVA</t>
        </is>
      </c>
      <c r="B20" s="28">
        <f>B5/(1+'Supuestos'!$B$43)</f>
        <v/>
      </c>
      <c r="C20" s="28">
        <f>C5/(1+'Supuestos'!$B$43)</f>
        <v/>
      </c>
      <c r="D20" s="28">
        <f>D5/(1+'Supuestos'!$B$43)</f>
        <v/>
      </c>
      <c r="E20" s="28">
        <f>E5/(1+'Supuestos'!$B$43)</f>
        <v/>
      </c>
      <c r="F20" s="28">
        <f>F5/(1+'Supuestos'!$B$43)</f>
        <v/>
      </c>
      <c r="G20" s="28">
        <f>G5/(1+'Supuestos'!$B$43)</f>
        <v/>
      </c>
      <c r="H20" s="19" t="inlineStr">
        <is>
          <t>€/mes</t>
        </is>
      </c>
    </row>
    <row r="21">
      <c r="A21" s="4" t="inlineStr">
        <is>
          <t>Contribucion si incluyera IVA</t>
        </is>
      </c>
      <c r="B21" s="28">
        <f>B20-B13-B15-B16-B17</f>
        <v/>
      </c>
      <c r="C21" s="28">
        <f>C20-C13-C15-C16-C17</f>
        <v/>
      </c>
      <c r="D21" s="28">
        <f>D20-D13-D15-D16-D17</f>
        <v/>
      </c>
      <c r="E21" s="28">
        <f>E20-E13-E15-E16-E17</f>
        <v/>
      </c>
      <c r="F21" s="28">
        <f>F20-F13-F15-F16-F17</f>
        <v/>
      </c>
      <c r="G21" s="28">
        <f>G20-G13-G15-G16-G17</f>
        <v/>
      </c>
      <c r="H21" s="19" t="inlineStr">
        <is>
          <t>€/mes</t>
        </is>
      </c>
    </row>
    <row r="22">
      <c r="A22" s="4" t="inlineStr">
        <is>
          <t>IA: 100% de creditos con Haiku</t>
        </is>
      </c>
      <c r="B22" s="28">
        <f>'Supuestos'!B$9*'Supuestos'!$B$31*'Supuestos'!$B$25</f>
        <v/>
      </c>
      <c r="C22" s="28">
        <f>'Supuestos'!C$9*'Supuestos'!$B$31*'Supuestos'!$B$25</f>
        <v/>
      </c>
      <c r="D22" s="28">
        <f>'Supuestos'!D$9*'Supuestos'!$B$31*'Supuestos'!$B$25</f>
        <v/>
      </c>
      <c r="E22" s="28">
        <f>'Supuestos'!B$9*'Supuestos'!$B$31*'Supuestos'!$B$25</f>
        <v/>
      </c>
      <c r="F22" s="28">
        <f>'Supuestos'!C$9*'Supuestos'!$B$31*'Supuestos'!$B$25</f>
        <v/>
      </c>
      <c r="G22" s="28">
        <f>'Supuestos'!D$9*'Supuestos'!$B$31*'Supuestos'!$B$25</f>
        <v/>
      </c>
      <c r="H22" s="19" t="inlineStr">
        <is>
          <t>€/mes</t>
        </is>
      </c>
    </row>
    <row r="23">
      <c r="A23" s="4" t="inlineStr">
        <is>
          <t>Margen bruto en peor caso IA</t>
        </is>
      </c>
      <c r="B23" s="44">
        <f>(B5-(B13-B8+B22))/B5</f>
        <v/>
      </c>
      <c r="C23" s="44">
        <f>(C5-(C13-C8+C22))/C5</f>
        <v/>
      </c>
      <c r="D23" s="44">
        <f>(D5-(D13-D8+D22))/D5</f>
        <v/>
      </c>
      <c r="E23" s="44">
        <f>(E5-(E13-E8+E22))/E5</f>
        <v/>
      </c>
      <c r="F23" s="44">
        <f>(F5-(F13-F8+F22))/F5</f>
        <v/>
      </c>
      <c r="G23" s="44">
        <f>(G5-(G13-G8+G22))/G5</f>
        <v/>
      </c>
      <c r="H23" s="19" t="inlineStr">
        <is>
          <t>%</t>
        </is>
      </c>
    </row>
  </sheetData>
  <mergeCells count="2">
    <mergeCell ref="A2:H2"/>
    <mergeCell ref="A1:H1"/>
  </mergeCells>
  <pageMargins left="0.75" right="0.75" top="1" bottom="1" header="0.5" footer="0.5"/>
</worksheet>
</file>

<file path=xl/worksheets/sheet5.xml><?xml version="1.0" encoding="utf-8"?>
<worksheet xmlns="http://schemas.openxmlformats.org/spreadsheetml/2006/main">
  <sheetPr>
    <tabColor rgb="FF14463B"/>
    <outlinePr summaryBelow="1" summaryRight="1"/>
    <pageSetUpPr/>
  </sheetPr>
  <dimension ref="A1:F15"/>
  <sheetViews>
    <sheetView showGridLines="0" workbookViewId="0">
      <selection activeCell="A1" sqref="A1"/>
    </sheetView>
  </sheetViews>
  <sheetFormatPr baseColWidth="8" defaultRowHeight="15"/>
  <cols>
    <col width="32" customWidth="1" min="1" max="1"/>
    <col width="34" customWidth="1" min="2" max="2"/>
    <col width="16" customWidth="1" min="3" max="3"/>
    <col width="16" customWidth="1" min="4" max="4"/>
    <col width="14" customWidth="1" min="5" max="5"/>
    <col width="40" customWidth="1" min="6" max="6"/>
  </cols>
  <sheetData>
    <row r="1" ht="26" customHeight="1">
      <c r="A1" s="1" t="inlineStr">
        <is>
          <t>Hipotesis de coste del documento externo</t>
        </is>
      </c>
    </row>
    <row r="2" ht="30" customHeight="1">
      <c r="A2" s="2" t="inlineStr">
        <is>
          <t>Reproduccion literal de la tabla recibida. Su propio encabezado la titula 'Calculo (Hipotesis)': no lleva fuente ni fecha, y aplica el mismo coste a todos los planes independientemente del uso.</t>
        </is>
      </c>
    </row>
    <row r="4">
      <c r="A4" s="3" t="inlineStr">
        <is>
          <t>Tabla recibida</t>
        </is>
      </c>
    </row>
    <row r="5">
      <c r="A5" s="5" t="inlineStr">
        <is>
          <t>Concepto de gasto</t>
        </is>
      </c>
      <c r="B5" s="5" t="inlineStr">
        <is>
          <t>Calculo (hipotesis)</t>
        </is>
      </c>
      <c r="C5" s="5" t="inlineStr">
        <is>
          <t>Coste mensual/usuario</t>
        </is>
      </c>
      <c r="D5" s="5" t="inlineStr"/>
      <c r="E5" s="5" t="inlineStr"/>
      <c r="F5" s="5" t="inlineStr">
        <is>
          <t>Contraste con el modelo Noesis</t>
        </is>
      </c>
    </row>
    <row r="6">
      <c r="A6" s="13" t="inlineStr">
        <is>
          <t>API de Meta (WhatsApp)</t>
        </is>
      </c>
      <c r="B6" s="45" t="inlineStr">
        <is>
          <t>150 mensajes enviados x 0,0166 €</t>
        </is>
      </c>
      <c r="C6" s="28">
        <f>150*Supuestos!B29</f>
        <v/>
      </c>
      <c r="F6" s="22" t="inlineStr">
        <is>
          <t>El modelo Noesis usa 30/80/200 mensajes segun plan, no 150 fijos</t>
        </is>
      </c>
    </row>
    <row r="7">
      <c r="A7" s="13" t="inlineStr">
        <is>
          <t>Inteligencia Artificial (LLM)</t>
        </is>
      </c>
      <c r="B7" s="45" t="inlineStr">
        <is>
          <t>150 procesamientos x ~0,02 €</t>
        </is>
      </c>
      <c r="C7" s="32" t="n">
        <v>3</v>
      </c>
      <c r="F7" s="22" t="inlineStr">
        <is>
          <t>El modelo Noesis estima 0,05/0,22/0,69 €: el cerebro interno resuelve el 60%</t>
        </is>
      </c>
    </row>
    <row r="8">
      <c r="A8" s="13" t="inlineStr">
        <is>
          <t>Servidor y base de datos</t>
        </is>
      </c>
      <c r="B8" s="45" t="inlineStr">
        <is>
          <t>Prorrateo basico por usuario</t>
        </is>
      </c>
      <c r="C8" s="32" t="n">
        <v>1</v>
      </c>
      <c r="F8" s="22" t="inlineStr">
        <is>
          <t>El modelo Noesis reparte 65 € de plataforma entre las cuentas activas</t>
        </is>
      </c>
    </row>
    <row r="9">
      <c r="A9" s="16" t="inlineStr">
        <is>
          <t>COSTE TOTAL VARIABLE</t>
        </is>
      </c>
      <c r="B9" s="16" t="inlineStr">
        <is>
          <t>Mensual por usuario</t>
        </is>
      </c>
      <c r="C9" s="46">
        <f>SUM(C6:C8)</f>
        <v/>
      </c>
    </row>
    <row r="11">
      <c r="A11" s="3" t="inlineStr">
        <is>
          <t>Margen resultante con esta hipotesis</t>
        </is>
      </c>
    </row>
    <row r="12">
      <c r="A12" s="5" t="inlineStr">
        <is>
          <t>Plan</t>
        </is>
      </c>
      <c r="B12" s="5" t="inlineStr">
        <is>
          <t>Precio adoptado</t>
        </is>
      </c>
      <c r="C12" s="5" t="inlineStr">
        <is>
          <t>Coste variable</t>
        </is>
      </c>
      <c r="D12" s="5" t="inlineStr">
        <is>
          <t>Contribucion bruta</t>
        </is>
      </c>
      <c r="E12" s="5" t="inlineStr">
        <is>
          <t>Margen</t>
        </is>
      </c>
      <c r="F12" s="5" t="inlineStr">
        <is>
          <t>Nota</t>
        </is>
      </c>
    </row>
    <row r="13">
      <c r="A13" s="4" t="inlineStr">
        <is>
          <t>Autonomo</t>
        </is>
      </c>
      <c r="B13" s="20">
        <f>Supuestos!B7</f>
        <v/>
      </c>
      <c r="C13" s="20">
        <f>$C$9</f>
        <v/>
      </c>
      <c r="D13" s="20">
        <f>B13-C13</f>
        <v/>
      </c>
      <c r="E13" s="27">
        <f>D13/B13</f>
        <v/>
      </c>
      <c r="F13" s="47" t="inlineStr">
        <is>
          <t>No descuenta soporte, onboarding ni fijo: no es comparable con la contribucion de Unit_Economics</t>
        </is>
      </c>
    </row>
    <row r="14">
      <c r="A14" s="4" t="inlineStr">
        <is>
          <t>Negocio</t>
        </is>
      </c>
      <c r="B14" s="20">
        <f>Supuestos!C7</f>
        <v/>
      </c>
      <c r="C14" s="20">
        <f>$C$9</f>
        <v/>
      </c>
      <c r="D14" s="20">
        <f>B14-C14</f>
        <v/>
      </c>
      <c r="E14" s="27">
        <f>D14/B14</f>
        <v/>
      </c>
      <c r="F14" s="47" t="inlineStr">
        <is>
          <t>No descuenta soporte, onboarding ni fijo: no es comparable con la contribucion de Unit_Economics</t>
        </is>
      </c>
    </row>
    <row r="15">
      <c r="A15" s="4" t="inlineStr">
        <is>
          <t>Premium</t>
        </is>
      </c>
      <c r="B15" s="20">
        <f>Supuestos!D7</f>
        <v/>
      </c>
      <c r="C15" s="20">
        <f>$C$9</f>
        <v/>
      </c>
      <c r="D15" s="20">
        <f>B15-C15</f>
        <v/>
      </c>
      <c r="E15" s="27">
        <f>D15/B15</f>
        <v/>
      </c>
      <c r="F15" s="47" t="inlineStr">
        <is>
          <t>No descuenta soporte, onboarding ni fijo: no es comparable con la contribucion de Unit_Economics</t>
        </is>
      </c>
    </row>
  </sheetData>
  <mergeCells count="4">
    <mergeCell ref="A2:F2"/>
    <mergeCell ref="A11:F11"/>
    <mergeCell ref="A1:F1"/>
    <mergeCell ref="A4:F4"/>
  </mergeCells>
  <pageMargins left="0.75" right="0.75" top="1" bottom="1" header="0.5" footer="0.5"/>
</worksheet>
</file>

<file path=xl/worksheets/sheet6.xml><?xml version="1.0" encoding="utf-8"?>
<worksheet xmlns="http://schemas.openxmlformats.org/spreadsheetml/2006/main">
  <sheetPr>
    <tabColor rgb="FF14463B"/>
    <outlinePr summaryBelow="1" summaryRight="1"/>
    <pageSetUpPr/>
  </sheetPr>
  <dimension ref="A1:G21"/>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s>
  <sheetData>
    <row r="1" ht="26" customHeight="1">
      <c r="A1" s="1" t="inlineStr">
        <is>
          <t>Comparador de escenarios de coste</t>
        </is>
      </c>
    </row>
    <row r="2" ht="30" customHeight="1">
      <c r="A2" s="2" t="inlineStr">
        <is>
          <t>Que pasa con el margen si el coste real por usuario resulta ser el del documento externo en lugar del estimado internamente. Solo compara COGS variable, para que la base sea la misma.</t>
        </is>
      </c>
    </row>
    <row r="4">
      <c r="A4" s="3" t="inlineStr">
        <is>
          <t>COGS software por plan</t>
        </is>
      </c>
    </row>
    <row r="5">
      <c r="A5" s="5" t="inlineStr">
        <is>
          <t>Escenario</t>
        </is>
      </c>
      <c r="B5" s="5" t="inlineStr">
        <is>
          <t>Autonomo</t>
        </is>
      </c>
      <c r="C5" s="5" t="inlineStr">
        <is>
          <t>Negocio</t>
        </is>
      </c>
      <c r="D5" s="5" t="inlineStr">
        <is>
          <t>Premium</t>
        </is>
      </c>
      <c r="E5" s="5" t="inlineStr"/>
      <c r="F5" s="5" t="inlineStr"/>
      <c r="G5" s="5" t="inlineStr"/>
    </row>
    <row r="6">
      <c r="A6" s="4" t="inlineStr">
        <is>
          <t>Modelo Noesis (con fuentes)</t>
        </is>
      </c>
      <c r="B6" s="20">
        <f>Unit_Economics!E13</f>
        <v/>
      </c>
      <c r="C6" s="20">
        <f>Unit_Economics!F13</f>
        <v/>
      </c>
      <c r="D6" s="20">
        <f>Unit_Economics!G13</f>
        <v/>
      </c>
    </row>
    <row r="7">
      <c r="A7" s="4" t="inlineStr">
        <is>
          <t>Hipotesis externa</t>
        </is>
      </c>
      <c r="B7" s="20">
        <f>Hipotesis_Externa!$C$9</f>
        <v/>
      </c>
      <c r="C7" s="20">
        <f>Hipotesis_Externa!$C$9</f>
        <v/>
      </c>
      <c r="D7" s="20">
        <f>Hipotesis_Externa!$C$9</f>
        <v/>
      </c>
    </row>
    <row r="8">
      <c r="A8" s="11" t="inlineStr">
        <is>
          <t>Diferencia</t>
        </is>
      </c>
      <c r="B8" s="20">
        <f>B7-B6</f>
        <v/>
      </c>
      <c r="C8" s="20">
        <f>C7-C6</f>
        <v/>
      </c>
      <c r="D8" s="20">
        <f>D7-D6</f>
        <v/>
      </c>
    </row>
    <row r="9">
      <c r="A9" s="11" t="inlineStr">
        <is>
          <t>Multiplicador</t>
        </is>
      </c>
      <c r="B9" s="48">
        <f>IF(B6&gt;0,B7/B6,"")</f>
        <v/>
      </c>
      <c r="C9" s="48">
        <f>IF(C6&gt;0,C7/C6,"")</f>
        <v/>
      </c>
      <c r="D9" s="48">
        <f>IF(D6&gt;0,D7/D6,"")</f>
        <v/>
      </c>
    </row>
    <row r="11">
      <c r="A11" s="3" t="inlineStr">
        <is>
          <t>Margen bruto comparado</t>
        </is>
      </c>
    </row>
    <row r="12">
      <c r="A12" s="5" t="inlineStr">
        <is>
          <t>Escenario</t>
        </is>
      </c>
      <c r="B12" s="5" t="inlineStr">
        <is>
          <t>Autonomo</t>
        </is>
      </c>
      <c r="C12" s="5" t="inlineStr">
        <is>
          <t>Negocio</t>
        </is>
      </c>
      <c r="D12" s="5" t="inlineStr">
        <is>
          <t>Premium</t>
        </is>
      </c>
      <c r="E12" s="5" t="inlineStr"/>
      <c r="F12" s="5" t="inlineStr"/>
      <c r="G12" s="5" t="inlineStr"/>
    </row>
    <row r="13">
      <c r="A13" s="4" t="inlineStr">
        <is>
          <t>Modelo Noesis</t>
        </is>
      </c>
      <c r="B13" s="49">
        <f>Unit_Economics!E14</f>
        <v/>
      </c>
      <c r="C13" s="49">
        <f>Unit_Economics!F14</f>
        <v/>
      </c>
      <c r="D13" s="49">
        <f>Unit_Economics!G14</f>
        <v/>
      </c>
    </row>
    <row r="14">
      <c r="A14" s="4" t="inlineStr">
        <is>
          <t>Hipotesis externa</t>
        </is>
      </c>
      <c r="B14" s="49">
        <f>(Supuestos!B7-Hipotesis_Externa!$C$9)/Supuestos!B7</f>
        <v/>
      </c>
      <c r="C14" s="49">
        <f>(Supuestos!C7-Hipotesis_Externa!$C$9)/Supuestos!C7</f>
        <v/>
      </c>
      <c r="D14" s="49">
        <f>(Supuestos!D7-Hipotesis_Externa!$C$9)/Supuestos!D7</f>
        <v/>
      </c>
    </row>
    <row r="15">
      <c r="A15" s="11" t="inlineStr">
        <is>
          <t>Puntos perdidos</t>
        </is>
      </c>
      <c r="B15" s="50">
        <f>B13-B14</f>
        <v/>
      </c>
      <c r="C15" s="50">
        <f>C13-C14</f>
        <v/>
      </c>
      <c r="D15" s="50">
        <f>D13-D14</f>
        <v/>
      </c>
    </row>
    <row r="17">
      <c r="A17" s="16" t="inlineStr">
        <is>
          <t>Como leerlo</t>
        </is>
      </c>
    </row>
    <row r="18">
      <c r="A18" s="22" t="inlineStr">
        <is>
          <t>La hipotesis externa aplica un coste plano por usuario, asi que penaliza mucho al plan barato y apenas al caro, mientras que el modelo Noesis escala el coste con el uso incluido en cada plan. Si el piloto midiera un consumo parecido al de la hipotesis, el plan Autonomo seria el primero en sufrir. Es el escenario que conviene vigilar durante los primeros 30 dias.</t>
        </is>
      </c>
    </row>
    <row r="19"/>
    <row r="20"/>
    <row r="21"/>
  </sheetData>
  <mergeCells count="5">
    <mergeCell ref="A18:G21"/>
    <mergeCell ref="A1:G1"/>
    <mergeCell ref="A4:G4"/>
    <mergeCell ref="A2:G2"/>
    <mergeCell ref="A11:G11"/>
  </mergeCells>
  <pageMargins left="0.75" right="0.75" top="1" bottom="1" header="0.5" footer="0.5"/>
</worksheet>
</file>

<file path=xl/worksheets/sheet7.xml><?xml version="1.0" encoding="utf-8"?>
<worksheet xmlns="http://schemas.openxmlformats.org/spreadsheetml/2006/main">
  <sheetPr>
    <tabColor rgb="FF14463B"/>
    <outlinePr summaryBelow="1" summaryRight="1"/>
    <pageSetUpPr/>
  </sheetPr>
  <dimension ref="A1:G11"/>
  <sheetViews>
    <sheetView showGridLines="0"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8" customWidth="1" min="6" max="6"/>
    <col width="18" customWidth="1" min="7" max="7"/>
  </cols>
  <sheetData>
    <row r="1" ht="26" customHeight="1">
      <c r="A1" s="1" t="inlineStr">
        <is>
          <t>Tarifa anual frente a mensual</t>
        </is>
      </c>
    </row>
    <row r="2" ht="30" customHeight="1">
      <c r="A2" s="2" t="inlineStr">
        <is>
          <t>El anual cobra 11 meses y da acceso 12: un descuento real del 8,3%. Se eligio este nivel, y no dos meses gratis, para proteger el margen de Premium mientras el piloto no ha medido voz y soporte reales.</t>
        </is>
      </c>
    </row>
    <row r="4">
      <c r="A4" s="5" t="inlineStr">
        <is>
          <t>Plan</t>
        </is>
      </c>
      <c r="B4" s="5" t="inlineStr">
        <is>
          <t>Mensual</t>
        </is>
      </c>
      <c r="C4" s="5" t="inlineStr">
        <is>
          <t>Cobro anual</t>
        </is>
      </c>
      <c r="D4" s="5" t="inlineStr">
        <is>
          <t>Equivalente/mes</t>
        </is>
      </c>
      <c r="E4" s="5" t="inlineStr">
        <is>
          <t>Ahorro/ano</t>
        </is>
      </c>
      <c r="F4" s="5" t="inlineStr">
        <is>
          <t>Contribucion mensual</t>
        </is>
      </c>
      <c r="G4" s="5" t="inlineStr">
        <is>
          <t>Margen contribucion</t>
        </is>
      </c>
    </row>
    <row r="5">
      <c r="A5" s="4" t="inlineStr">
        <is>
          <t>Autonomo</t>
        </is>
      </c>
      <c r="B5" s="20">
        <f>Supuestos!B7</f>
        <v/>
      </c>
      <c r="C5" s="32" t="n">
        <v>319</v>
      </c>
      <c r="D5" s="20">
        <f>C5/12</f>
        <v/>
      </c>
      <c r="E5" s="20">
        <f>B5*12-C5</f>
        <v/>
      </c>
      <c r="F5" s="32" t="n">
        <v>18.69</v>
      </c>
      <c r="G5" s="27">
        <f>F5/D5</f>
        <v/>
      </c>
    </row>
    <row r="6">
      <c r="A6" s="4" t="inlineStr">
        <is>
          <t>Negocio</t>
        </is>
      </c>
      <c r="B6" s="20">
        <f>Supuestos!C7</f>
        <v/>
      </c>
      <c r="C6" s="32" t="n">
        <v>539</v>
      </c>
      <c r="D6" s="20">
        <f>C6/12</f>
        <v/>
      </c>
      <c r="E6" s="20">
        <f>B6*12-C6</f>
        <v/>
      </c>
      <c r="F6" s="32" t="n">
        <v>31.12</v>
      </c>
      <c r="G6" s="27">
        <f>F6/D6</f>
        <v/>
      </c>
    </row>
    <row r="7">
      <c r="A7" s="4" t="inlineStr">
        <is>
          <t>Premium</t>
        </is>
      </c>
      <c r="B7" s="20">
        <f>Supuestos!D7</f>
        <v/>
      </c>
      <c r="C7" s="32" t="n">
        <v>1089</v>
      </c>
      <c r="D7" s="20">
        <f>C7/12</f>
        <v/>
      </c>
      <c r="E7" s="20">
        <f>B7*12-C7</f>
        <v/>
      </c>
      <c r="F7" s="32" t="n">
        <v>49.12</v>
      </c>
      <c r="G7" s="27">
        <f>F7/D7</f>
        <v/>
      </c>
    </row>
    <row r="9">
      <c r="A9" s="22" t="inlineStr">
        <is>
          <t>La contribucion anual es una estimacion del analisis del 15/07/2026 con el mismo uso, soporte y onboarding del escenario base y una sola comision Stripe prorrateada. El anual mejora caja y reduce comisiones, pero obliga a reservar capacidad de servicio durante doce meses.</t>
        </is>
      </c>
    </row>
    <row r="10"/>
    <row r="11"/>
  </sheetData>
  <mergeCells count="3">
    <mergeCell ref="A2:G2"/>
    <mergeCell ref="A1:G1"/>
    <mergeCell ref="A9:G11"/>
  </mergeCells>
  <pageMargins left="0.75" right="0.75" top="1" bottom="1" header="0.5" footer="0.5"/>
</worksheet>
</file>

<file path=xl/worksheets/sheet8.xml><?xml version="1.0" encoding="utf-8"?>
<worksheet xmlns="http://schemas.openxmlformats.org/spreadsheetml/2006/main">
  <sheetPr>
    <tabColor rgb="FF14463B"/>
    <outlinePr summaryBelow="1" summaryRight="1"/>
    <pageSetUpPr/>
  </sheetPr>
  <dimension ref="A1:F35"/>
  <sheetViews>
    <sheetView showGridLines="0" workbookViewId="0">
      <selection activeCell="A1" sqref="A1"/>
    </sheetView>
  </sheetViews>
  <sheetFormatPr baseColWidth="8" defaultRowHeight="15"/>
  <cols>
    <col width="14" customWidth="1" min="1" max="1"/>
    <col width="20" customWidth="1" min="2" max="2"/>
    <col width="20" customWidth="1" min="3" max="3"/>
    <col width="20" customWidth="1" min="4" max="4"/>
    <col width="20" customWidth="1" min="5" max="5"/>
    <col width="22" customWidth="1" min="6" max="6"/>
  </cols>
  <sheetData>
    <row r="1" ht="26" customHeight="1">
      <c r="A1" s="1" t="inlineStr">
        <is>
          <t>Escala y punto de equilibrio</t>
        </is>
      </c>
    </row>
    <row r="2" ht="30" customHeight="1">
      <c r="A2" s="2" t="inlineStr">
        <is>
          <t>Ingreso y resultado segun numero de cuentas, con el mix y el opex de la hoja Supuestos. El opex de 3.500 € es una hipotesis de planificacion, NO el gasto contable actual.</t>
        </is>
      </c>
    </row>
    <row r="4">
      <c r="A4" s="5" t="inlineStr">
        <is>
          <t>Cuentas</t>
        </is>
      </c>
      <c r="B4" s="5" t="inlineStr">
        <is>
          <t>Ingreso mensual</t>
        </is>
      </c>
      <c r="C4" s="5" t="inlineStr">
        <is>
          <t>Contribucion total</t>
        </is>
      </c>
      <c r="D4" s="5" t="inlineStr">
        <is>
          <t>Opex fijo</t>
        </is>
      </c>
      <c r="E4" s="5" t="inlineStr">
        <is>
          <t>Resultado</t>
        </is>
      </c>
      <c r="F4" s="5" t="inlineStr">
        <is>
          <t>Margen sobre ingreso</t>
        </is>
      </c>
    </row>
    <row r="5">
      <c r="A5" s="51" t="n">
        <v>10</v>
      </c>
      <c r="B5" s="15">
        <f>A5*(Supuestos!$B$7*Supuestos!$B$8+Supuestos!$C$7*Supuestos!$C$8+Supuestos!$D$7*Supuestos!$D$8)</f>
        <v/>
      </c>
      <c r="C5" s="15">
        <f>A5*(Unit_Economics!$E$18*Supuestos!$B$8+Unit_Economics!$F$18*Supuestos!$C$8+Unit_Economics!$G$18*Supuestos!$D$8)</f>
        <v/>
      </c>
      <c r="D5" s="15">
        <f>Supuestos!$B$41</f>
        <v/>
      </c>
      <c r="E5" s="52">
        <f>C5-D5</f>
        <v/>
      </c>
      <c r="F5" s="49">
        <f>IF(B5&gt;0,E5/B5,"")</f>
        <v/>
      </c>
    </row>
    <row r="6">
      <c r="A6" s="51" t="n">
        <v>25</v>
      </c>
      <c r="B6" s="15">
        <f>A6*(Supuestos!$B$7*Supuestos!$B$8+Supuestos!$C$7*Supuestos!$C$8+Supuestos!$D$7*Supuestos!$D$8)</f>
        <v/>
      </c>
      <c r="C6" s="15">
        <f>A6*(Unit_Economics!$E$18*Supuestos!$B$8+Unit_Economics!$F$18*Supuestos!$C$8+Unit_Economics!$G$18*Supuestos!$D$8)</f>
        <v/>
      </c>
      <c r="D6" s="15">
        <f>Supuestos!$B$41</f>
        <v/>
      </c>
      <c r="E6" s="52">
        <f>C6-D6</f>
        <v/>
      </c>
      <c r="F6" s="49">
        <f>IF(B6&gt;0,E6/B6,"")</f>
        <v/>
      </c>
    </row>
    <row r="7">
      <c r="A7" s="51" t="n">
        <v>50</v>
      </c>
      <c r="B7" s="15">
        <f>A7*(Supuestos!$B$7*Supuestos!$B$8+Supuestos!$C$7*Supuestos!$C$8+Supuestos!$D$7*Supuestos!$D$8)</f>
        <v/>
      </c>
      <c r="C7" s="15">
        <f>A7*(Unit_Economics!$E$18*Supuestos!$B$8+Unit_Economics!$F$18*Supuestos!$C$8+Unit_Economics!$G$18*Supuestos!$D$8)</f>
        <v/>
      </c>
      <c r="D7" s="15">
        <f>Supuestos!$B$41</f>
        <v/>
      </c>
      <c r="E7" s="52">
        <f>C7-D7</f>
        <v/>
      </c>
      <c r="F7" s="49">
        <f>IF(B7&gt;0,E7/B7,"")</f>
        <v/>
      </c>
    </row>
    <row r="8">
      <c r="A8" s="51" t="n">
        <v>100</v>
      </c>
      <c r="B8" s="15">
        <f>A8*(Supuestos!$B$7*Supuestos!$B$8+Supuestos!$C$7*Supuestos!$C$8+Supuestos!$D$7*Supuestos!$D$8)</f>
        <v/>
      </c>
      <c r="C8" s="15">
        <f>A8*(Unit_Economics!$E$18*Supuestos!$B$8+Unit_Economics!$F$18*Supuestos!$C$8+Unit_Economics!$G$18*Supuestos!$D$8)</f>
        <v/>
      </c>
      <c r="D8" s="15">
        <f>Supuestos!$B$41</f>
        <v/>
      </c>
      <c r="E8" s="52">
        <f>C8-D8</f>
        <v/>
      </c>
      <c r="F8" s="49">
        <f>IF(B8&gt;0,E8/B8,"")</f>
        <v/>
      </c>
    </row>
    <row r="9">
      <c r="A9" s="51" t="n">
        <v>120</v>
      </c>
      <c r="B9" s="15">
        <f>A9*(Supuestos!$B$7*Supuestos!$B$8+Supuestos!$C$7*Supuestos!$C$8+Supuestos!$D$7*Supuestos!$D$8)</f>
        <v/>
      </c>
      <c r="C9" s="15">
        <f>A9*(Unit_Economics!$E$18*Supuestos!$B$8+Unit_Economics!$F$18*Supuestos!$C$8+Unit_Economics!$G$18*Supuestos!$D$8)</f>
        <v/>
      </c>
      <c r="D9" s="15">
        <f>Supuestos!$B$41</f>
        <v/>
      </c>
      <c r="E9" s="52">
        <f>C9-D9</f>
        <v/>
      </c>
      <c r="F9" s="49">
        <f>IF(B9&gt;0,E9/B9,"")</f>
        <v/>
      </c>
    </row>
    <row r="10">
      <c r="A10" s="51" t="n">
        <v>150</v>
      </c>
      <c r="B10" s="15">
        <f>A10*(Supuestos!$B$7*Supuestos!$B$8+Supuestos!$C$7*Supuestos!$C$8+Supuestos!$D$7*Supuestos!$D$8)</f>
        <v/>
      </c>
      <c r="C10" s="15">
        <f>A10*(Unit_Economics!$E$18*Supuestos!$B$8+Unit_Economics!$F$18*Supuestos!$C$8+Unit_Economics!$G$18*Supuestos!$D$8)</f>
        <v/>
      </c>
      <c r="D10" s="15">
        <f>Supuestos!$B$41</f>
        <v/>
      </c>
      <c r="E10" s="52">
        <f>C10-D10</f>
        <v/>
      </c>
      <c r="F10" s="49">
        <f>IF(B10&gt;0,E10/B10,"")</f>
        <v/>
      </c>
    </row>
    <row r="11">
      <c r="A11" s="51" t="n">
        <v>200</v>
      </c>
      <c r="B11" s="15">
        <f>A11*(Supuestos!$B$7*Supuestos!$B$8+Supuestos!$C$7*Supuestos!$C$8+Supuestos!$D$7*Supuestos!$D$8)</f>
        <v/>
      </c>
      <c r="C11" s="15">
        <f>A11*(Unit_Economics!$E$18*Supuestos!$B$8+Unit_Economics!$F$18*Supuestos!$C$8+Unit_Economics!$G$18*Supuestos!$D$8)</f>
        <v/>
      </c>
      <c r="D11" s="15">
        <f>Supuestos!$B$41</f>
        <v/>
      </c>
      <c r="E11" s="52">
        <f>C11-D11</f>
        <v/>
      </c>
      <c r="F11" s="49">
        <f>IF(B11&gt;0,E11/B11,"")</f>
        <v/>
      </c>
    </row>
    <row r="12">
      <c r="A12" s="51" t="n">
        <v>300</v>
      </c>
      <c r="B12" s="15">
        <f>A12*(Supuestos!$B$7*Supuestos!$B$8+Supuestos!$C$7*Supuestos!$C$8+Supuestos!$D$7*Supuestos!$D$8)</f>
        <v/>
      </c>
      <c r="C12" s="15">
        <f>A12*(Unit_Economics!$E$18*Supuestos!$B$8+Unit_Economics!$F$18*Supuestos!$C$8+Unit_Economics!$G$18*Supuestos!$D$8)</f>
        <v/>
      </c>
      <c r="D12" s="15">
        <f>Supuestos!$B$41</f>
        <v/>
      </c>
      <c r="E12" s="52">
        <f>C12-D12</f>
        <v/>
      </c>
      <c r="F12" s="49">
        <f>IF(B12&gt;0,E12/B12,"")</f>
        <v/>
      </c>
    </row>
    <row r="13">
      <c r="A13" s="51" t="n">
        <v>500</v>
      </c>
      <c r="B13" s="15">
        <f>A13*(Supuestos!$B$7*Supuestos!$B$8+Supuestos!$C$7*Supuestos!$C$8+Supuestos!$D$7*Supuestos!$D$8)</f>
        <v/>
      </c>
      <c r="C13" s="15">
        <f>A13*(Unit_Economics!$E$18*Supuestos!$B$8+Unit_Economics!$F$18*Supuestos!$C$8+Unit_Economics!$G$18*Supuestos!$D$8)</f>
        <v/>
      </c>
      <c r="D13" s="15">
        <f>Supuestos!$B$41</f>
        <v/>
      </c>
      <c r="E13" s="52">
        <f>C13-D13</f>
        <v/>
      </c>
      <c r="F13" s="49">
        <f>IF(B13&gt;0,E13/B13,"")</f>
        <v/>
      </c>
    </row>
    <row r="14">
      <c r="A14" s="51" t="n">
        <v>750</v>
      </c>
      <c r="B14" s="15">
        <f>A14*(Supuestos!$B$7*Supuestos!$B$8+Supuestos!$C$7*Supuestos!$C$8+Supuestos!$D$7*Supuestos!$D$8)</f>
        <v/>
      </c>
      <c r="C14" s="15">
        <f>A14*(Unit_Economics!$E$18*Supuestos!$B$8+Unit_Economics!$F$18*Supuestos!$C$8+Unit_Economics!$G$18*Supuestos!$D$8)</f>
        <v/>
      </c>
      <c r="D14" s="15">
        <f>Supuestos!$B$41</f>
        <v/>
      </c>
      <c r="E14" s="52">
        <f>C14-D14</f>
        <v/>
      </c>
      <c r="F14" s="49">
        <f>IF(B14&gt;0,E14/B14,"")</f>
        <v/>
      </c>
    </row>
    <row r="15">
      <c r="A15" s="51" t="n">
        <v>1000</v>
      </c>
      <c r="B15" s="15">
        <f>A15*(Supuestos!$B$7*Supuestos!$B$8+Supuestos!$C$7*Supuestos!$C$8+Supuestos!$D$7*Supuestos!$D$8)</f>
        <v/>
      </c>
      <c r="C15" s="15">
        <f>A15*(Unit_Economics!$E$18*Supuestos!$B$8+Unit_Economics!$F$18*Supuestos!$C$8+Unit_Economics!$G$18*Supuestos!$D$8)</f>
        <v/>
      </c>
      <c r="D15" s="15">
        <f>Supuestos!$B$41</f>
        <v/>
      </c>
      <c r="E15" s="52">
        <f>C15-D15</f>
        <v/>
      </c>
      <c r="F15" s="49">
        <f>IF(B15&gt;0,E15/B15,"")</f>
        <v/>
      </c>
    </row>
    <row r="17">
      <c r="A17" s="16" t="inlineStr">
        <is>
          <t>Punto de equilibrio exacto</t>
        </is>
      </c>
    </row>
    <row r="18">
      <c r="A18" t="inlineStr">
        <is>
          <t>Cuentas necesarias</t>
        </is>
      </c>
      <c r="B18" s="30">
        <f>ROUNDUP(Supuestos!B41/(Unit_Economics!E18*Supuestos!B8+Unit_Economics!F18*Supuestos!C8+Unit_Economics!G18*Supuestos!D8),0)</f>
        <v/>
      </c>
      <c r="C18" s="19" t="inlineStr">
        <is>
          <t>Con el catalogo adoptado y el mix 55/35/10. El analisis del 15/07/2026 lo situo en unas 120 cuentas.</t>
        </is>
      </c>
    </row>
    <row r="20">
      <c r="A20" s="3" t="inlineStr">
        <is>
          <t>Cuantos clientes de cada plan hacen falta</t>
        </is>
      </c>
    </row>
    <row r="21">
      <c r="A21" s="5" t="inlineStr">
        <is>
          <t>Plan</t>
        </is>
      </c>
      <c r="B21" s="5" t="inlineStr">
        <is>
          <t>Mix</t>
        </is>
      </c>
      <c r="C21" s="5" t="inlineStr">
        <is>
          <t>Clientes</t>
        </is>
      </c>
      <c r="D21" s="5" t="inlineStr">
        <is>
          <t>Precio</t>
        </is>
      </c>
      <c r="E21" s="5" t="inlineStr">
        <is>
          <t>Ingreso mensual</t>
        </is>
      </c>
      <c r="F21" s="5" t="inlineStr">
        <is>
          <t>Contribucion mensual</t>
        </is>
      </c>
    </row>
    <row r="22">
      <c r="A22" s="4" t="inlineStr">
        <is>
          <t>Autonomo</t>
        </is>
      </c>
      <c r="B22" s="49">
        <f>Supuestos!B8</f>
        <v/>
      </c>
      <c r="C22" s="17">
        <f>ROUND($B$18*B22,0)</f>
        <v/>
      </c>
      <c r="D22" s="15">
        <f>Supuestos!B7</f>
        <v/>
      </c>
      <c r="E22" s="15">
        <f>C22*D22</f>
        <v/>
      </c>
      <c r="F22" s="15">
        <f>C22*Unit_Economics!E18</f>
        <v/>
      </c>
    </row>
    <row r="23">
      <c r="A23" s="4" t="inlineStr">
        <is>
          <t>Negocio</t>
        </is>
      </c>
      <c r="B23" s="49">
        <f>Supuestos!C8</f>
        <v/>
      </c>
      <c r="C23" s="17">
        <f>ROUND($B$18*B23,0)</f>
        <v/>
      </c>
      <c r="D23" s="15">
        <f>Supuestos!C7</f>
        <v/>
      </c>
      <c r="E23" s="15">
        <f>C23*D23</f>
        <v/>
      </c>
      <c r="F23" s="15">
        <f>C23*Unit_Economics!F18</f>
        <v/>
      </c>
    </row>
    <row r="24">
      <c r="A24" s="4" t="inlineStr">
        <is>
          <t>Premium</t>
        </is>
      </c>
      <c r="B24" s="49">
        <f>Supuestos!D8</f>
        <v/>
      </c>
      <c r="C24" s="17">
        <f>ROUND($B$18*B24,0)</f>
        <v/>
      </c>
      <c r="D24" s="15">
        <f>Supuestos!D7</f>
        <v/>
      </c>
      <c r="E24" s="15">
        <f>C24*D24</f>
        <v/>
      </c>
      <c r="F24" s="15">
        <f>C24*Unit_Economics!G18</f>
        <v/>
      </c>
    </row>
    <row r="25">
      <c r="A25" s="16" t="inlineStr">
        <is>
          <t>TOTAL</t>
        </is>
      </c>
      <c r="B25" s="53">
        <f>SUM(B22:B24)</f>
        <v/>
      </c>
      <c r="C25" s="54">
        <f>SUM(C22:C24)</f>
        <v/>
      </c>
      <c r="D25" s="55" t="inlineStr"/>
      <c r="E25" s="23">
        <f>SUM(E22:E24)</f>
        <v/>
      </c>
      <c r="F25" s="23">
        <f>SUM(F22:F24)</f>
        <v/>
      </c>
    </row>
    <row r="27">
      <c r="A27" s="3" t="inlineStr">
        <is>
          <t>Y si toda la cartera fuera de un solo plan</t>
        </is>
      </c>
    </row>
    <row r="28">
      <c r="A28" s="5" t="inlineStr">
        <is>
          <t>Plan</t>
        </is>
      </c>
      <c r="B28" s="5" t="inlineStr">
        <is>
          <t>Contribucion/cliente</t>
        </is>
      </c>
      <c r="C28" s="5" t="inlineStr">
        <is>
          <t>Clientes necesarios</t>
        </is>
      </c>
      <c r="D28" s="5" t="inlineStr">
        <is>
          <t>Ingreso mensual</t>
        </is>
      </c>
      <c r="E28" s="5" t="inlineStr"/>
      <c r="F28" s="5" t="inlineStr"/>
    </row>
    <row r="29">
      <c r="A29" s="4" t="inlineStr">
        <is>
          <t>Autonomo</t>
        </is>
      </c>
      <c r="B29" s="20">
        <f>Unit_Economics!E18</f>
        <v/>
      </c>
      <c r="C29" s="56">
        <f>IFERROR(ROUNDUP(Supuestos!$B$41/B29,0),"")</f>
        <v/>
      </c>
      <c r="D29" s="15">
        <f>IFERROR(C29*Supuestos!B7,"")</f>
        <v/>
      </c>
    </row>
    <row r="30">
      <c r="A30" s="4" t="inlineStr">
        <is>
          <t>Negocio</t>
        </is>
      </c>
      <c r="B30" s="20">
        <f>Unit_Economics!F18</f>
        <v/>
      </c>
      <c r="C30" s="56">
        <f>IFERROR(ROUNDUP(Supuestos!$B$41/B30,0),"")</f>
        <v/>
      </c>
      <c r="D30" s="15">
        <f>IFERROR(C30*Supuestos!C7,"")</f>
        <v/>
      </c>
    </row>
    <row r="31">
      <c r="A31" s="4" t="inlineStr">
        <is>
          <t>Premium</t>
        </is>
      </c>
      <c r="B31" s="20">
        <f>Unit_Economics!G18</f>
        <v/>
      </c>
      <c r="C31" s="56">
        <f>IFERROR(ROUNDUP(Supuestos!$B$41/B31,0),"")</f>
        <v/>
      </c>
      <c r="D31" s="15">
        <f>IFERROR(C31*Supuestos!D7,"")</f>
        <v/>
      </c>
    </row>
    <row r="33">
      <c r="A33" s="22" t="inlineStr">
        <is>
          <t>Leer las dos tablas juntas: la primera reparte el equilibrio segun el mix que esperas; la segunda dice cuantos clientes harian falta si solo vendieras un plan. La distancia entre ambas cifras es el valor real de vender el plan caro, y es el argumento para decidir a quien dedicar el esfuerzo comercial.</t>
        </is>
      </c>
    </row>
    <row r="34"/>
    <row r="35"/>
  </sheetData>
  <mergeCells count="5">
    <mergeCell ref="A2:F2"/>
    <mergeCell ref="A1:F1"/>
    <mergeCell ref="A27:F27"/>
    <mergeCell ref="A20:F20"/>
    <mergeCell ref="A33:F35"/>
  </mergeCells>
  <conditionalFormatting sqref="E5:E15">
    <cfRule type="cellIs" priority="1" operator="lessThan" dxfId="2">
      <formula>0</formula>
    </cfRule>
    <cfRule type="cellIs" priority="2" operator="greaterThanOrEqual" dxfId="3">
      <formula>0</formula>
    </cfRule>
  </conditionalFormatting>
  <pageMargins left="0.75" right="0.75" top="1" bottom="1" header="0.5" footer="0.5"/>
</worksheet>
</file>

<file path=xl/worksheets/sheet9.xml><?xml version="1.0" encoding="utf-8"?>
<worksheet xmlns="http://schemas.openxmlformats.org/spreadsheetml/2006/main">
  <sheetPr>
    <tabColor rgb="FFB7831F"/>
    <outlinePr summaryBelow="1" summaryRight="1"/>
    <pageSetUpPr/>
  </sheetPr>
  <dimension ref="A1:F45"/>
  <sheetViews>
    <sheetView showGridLines="0" workbookViewId="0">
      <selection activeCell="A1" sqref="A1"/>
    </sheetView>
  </sheetViews>
  <sheetFormatPr baseColWidth="8" defaultRowHeight="15"/>
  <cols>
    <col width="36" customWidth="1" min="1" max="1"/>
    <col width="16" customWidth="1" min="2" max="2"/>
    <col width="16" customWidth="1" min="3" max="3"/>
    <col width="18" customWidth="1" min="4" max="4"/>
    <col width="14" customWidth="1" min="5" max="5"/>
    <col width="44" customWidth="1" min="6" max="6"/>
  </cols>
  <sheetData>
    <row r="1" ht="26" customHeight="1">
      <c r="A1" s="1" t="inlineStr">
        <is>
          <t>Publicidad y coste de captacion</t>
        </is>
      </c>
    </row>
    <row r="2" ht="30" customHeight="1">
      <c r="A2" s="2" t="inlineStr">
        <is>
          <t>Gasto variable: la publicidad no escala con los clientes que ya tienes, sino con los que quieres captar. Las celdas naranjas estan VACIAS a proposito: ninguna cifra de embudo consta en el repositorio. En cuanto escribas presupuesto y conversiones, el resto se calcula solo.</t>
        </is>
      </c>
    </row>
    <row r="4">
      <c r="A4" s="3" t="inlineStr">
        <is>
          <t>Entradas de campana</t>
        </is>
      </c>
    </row>
    <row r="5">
      <c r="A5" s="5" t="inlineStr">
        <is>
          <t>Driver</t>
        </is>
      </c>
      <c r="B5" s="5" t="inlineStr">
        <is>
          <t>Valor</t>
        </is>
      </c>
      <c r="C5" s="5" t="inlineStr"/>
      <c r="D5" s="5" t="inlineStr">
        <is>
          <t>Unidad</t>
        </is>
      </c>
      <c r="E5" s="5" t="inlineStr"/>
      <c r="F5" s="5" t="inlineStr">
        <is>
          <t>Nota</t>
        </is>
      </c>
    </row>
    <row r="6">
      <c r="A6" s="4" t="inlineStr">
        <is>
          <t>Presupuesto mensual de ads</t>
        </is>
      </c>
      <c r="B6" s="57" t="n"/>
      <c r="D6" s="19" t="inlineStr">
        <is>
          <t>€/mes</t>
        </is>
      </c>
      <c r="F6" s="22" t="inlineStr">
        <is>
          <t>El gasto variable principal. Sin el, el resto no calcula</t>
        </is>
      </c>
    </row>
    <row r="7">
      <c r="A7" s="4" t="inlineStr">
        <is>
          <t>Coste por clic</t>
        </is>
      </c>
      <c r="B7" s="57" t="n"/>
      <c r="D7" s="19" t="inlineStr">
        <is>
          <t>€/clic</t>
        </is>
      </c>
      <c r="F7" s="22" t="inlineStr">
        <is>
          <t>Meta Ads y Google Ads dan medias distintas: usa la tuya</t>
        </is>
      </c>
    </row>
    <row r="8">
      <c r="A8" s="4" t="inlineStr">
        <is>
          <t>Conversion clic -&gt; lead</t>
        </is>
      </c>
      <c r="B8" s="58" t="n"/>
      <c r="D8" s="19" t="inlineStr">
        <is>
          <t>%</t>
        </is>
      </c>
      <c r="F8" s="22" t="inlineStr">
        <is>
          <t>Visitas que dejan datos en Solicitar acceso</t>
        </is>
      </c>
    </row>
    <row r="9">
      <c r="A9" s="4" t="inlineStr">
        <is>
          <t>Conversion lead -&gt; prueba</t>
        </is>
      </c>
      <c r="B9" s="58" t="n"/>
      <c r="D9" s="19" t="inlineStr">
        <is>
          <t>%</t>
        </is>
      </c>
      <c r="F9" s="22" t="inlineStr">
        <is>
          <t>Leads que activan la prueba de 14 dias</t>
        </is>
      </c>
    </row>
    <row r="10">
      <c r="A10" s="4" t="inlineStr">
        <is>
          <t>Conversion prueba -&gt; pago</t>
        </is>
      </c>
      <c r="B10" s="58" t="n"/>
      <c r="D10" s="19" t="inlineStr">
        <is>
          <t>%</t>
        </is>
      </c>
      <c r="F10" s="22" t="inlineStr">
        <is>
          <t>El dato que mas mueve el CAC</t>
        </is>
      </c>
    </row>
    <row r="11">
      <c r="A11" s="4" t="inlineStr">
        <is>
          <t>Churn mensual</t>
        </is>
      </c>
      <c r="B11" s="58" t="n"/>
      <c r="D11" s="19" t="inlineStr">
        <is>
          <t>%</t>
        </is>
      </c>
      <c r="F11" s="22" t="inlineStr">
        <is>
          <t>Bajas sobre cartera. Necesario para el LTV</t>
        </is>
      </c>
    </row>
    <row r="12">
      <c r="A12" s="4" t="inlineStr">
        <is>
          <t>Altas que vienen de ads</t>
        </is>
      </c>
      <c r="B12" s="58" t="n"/>
      <c r="D12" s="19" t="inlineStr">
        <is>
          <t>%</t>
        </is>
      </c>
      <c r="F12" s="22" t="inlineStr">
        <is>
          <t>El resto llega por boca a boca y no cuesta ads</t>
        </is>
      </c>
    </row>
    <row r="14">
      <c r="A14" s="3" t="inlineStr">
        <is>
          <t>Embudo resultante</t>
        </is>
      </c>
    </row>
    <row r="15">
      <c r="A15" s="5" t="inlineStr">
        <is>
          <t>Metrica</t>
        </is>
      </c>
      <c r="B15" s="5" t="inlineStr">
        <is>
          <t>Valor</t>
        </is>
      </c>
      <c r="C15" s="5" t="inlineStr"/>
      <c r="D15" s="5" t="inlineStr">
        <is>
          <t>Unidad</t>
        </is>
      </c>
      <c r="E15" s="5" t="inlineStr"/>
      <c r="F15" s="5" t="inlineStr">
        <is>
          <t>Formula</t>
        </is>
      </c>
    </row>
    <row r="16">
      <c r="A16" s="4" t="inlineStr">
        <is>
          <t>Clics al mes</t>
        </is>
      </c>
      <c r="B16" s="29">
        <f>IFERROR(B6/B7,"")</f>
        <v/>
      </c>
      <c r="D16" s="19" t="inlineStr">
        <is>
          <t>clics</t>
        </is>
      </c>
      <c r="F16" s="19" t="inlineStr">
        <is>
          <t>Presupuesto / coste por clic</t>
        </is>
      </c>
    </row>
    <row r="17">
      <c r="A17" s="4" t="inlineStr">
        <is>
          <t>Leads al mes</t>
        </is>
      </c>
      <c r="B17" s="29">
        <f>IFERROR(B16*B8,"")</f>
        <v/>
      </c>
      <c r="D17" s="19" t="inlineStr">
        <is>
          <t>leads</t>
        </is>
      </c>
      <c r="F17" s="19" t="inlineStr">
        <is>
          <t>Clics x conversion a lead</t>
        </is>
      </c>
    </row>
    <row r="18">
      <c r="A18" s="4" t="inlineStr">
        <is>
          <t>Pruebas iniciadas</t>
        </is>
      </c>
      <c r="B18" s="29">
        <f>IFERROR(B17*B9,"")</f>
        <v/>
      </c>
      <c r="D18" s="19" t="inlineStr">
        <is>
          <t>pruebas</t>
        </is>
      </c>
      <c r="F18" s="19" t="inlineStr">
        <is>
          <t>Leads x conversion a prueba</t>
        </is>
      </c>
    </row>
    <row r="19">
      <c r="A19" s="4" t="inlineStr">
        <is>
          <t>Clientes nuevos de ads</t>
        </is>
      </c>
      <c r="B19" s="59">
        <f>IFERROR(B18*B10,"")</f>
        <v/>
      </c>
      <c r="D19" s="19" t="inlineStr">
        <is>
          <t>clientes/mes</t>
        </is>
      </c>
      <c r="F19" s="19" t="inlineStr">
        <is>
          <t>Pruebas x conversion a pago</t>
        </is>
      </c>
    </row>
    <row r="20">
      <c r="A20" s="4" t="inlineStr">
        <is>
          <t>Altas totales estimadas</t>
        </is>
      </c>
      <c r="B20" s="60">
        <f>IFERROR(IF(B12&gt;0,B19/B12,B19),"")</f>
        <v/>
      </c>
      <c r="D20" s="19" t="inlineStr">
        <is>
          <t>clientes/mes</t>
        </is>
      </c>
      <c r="F20" s="19" t="inlineStr">
        <is>
          <t>Incluye las que no vienen de ads</t>
        </is>
      </c>
    </row>
    <row r="21">
      <c r="A21" s="4" t="inlineStr">
        <is>
          <t>CAC real</t>
        </is>
      </c>
      <c r="B21" s="46">
        <f>IFERROR(B6/B19,"")</f>
        <v/>
      </c>
      <c r="D21" s="19" t="inlineStr">
        <is>
          <t>€/cliente</t>
        </is>
      </c>
      <c r="F21" s="19" t="inlineStr">
        <is>
          <t>Presupuesto / clientes captados por ads</t>
        </is>
      </c>
    </row>
    <row r="22">
      <c r="A22" s="4" t="inlineStr">
        <is>
          <t>CAC supuesto en el modelo</t>
        </is>
      </c>
      <c r="B22" s="28">
        <f>Supuestos!B42</f>
        <v/>
      </c>
      <c r="D22" s="19" t="inlineStr">
        <is>
          <t>€/cliente</t>
        </is>
      </c>
      <c r="F22" s="19" t="inlineStr">
        <is>
          <t>150 € sin validar, para contraste</t>
        </is>
      </c>
    </row>
    <row r="23">
      <c r="A23" s="4" t="inlineStr">
        <is>
          <t>Desviacion frente al supuesto</t>
        </is>
      </c>
      <c r="B23" s="28">
        <f>IFERROR(B21-B22,"")</f>
        <v/>
      </c>
      <c r="D23" s="19" t="inlineStr">
        <is>
          <t>€/cliente</t>
        </is>
      </c>
      <c r="F23" s="19" t="inlineStr">
        <is>
          <t>Positivo = captar sale mas caro de lo previsto</t>
        </is>
      </c>
    </row>
    <row r="25">
      <c r="A25" s="3" t="inlineStr">
        <is>
          <t>Salud de la captacion</t>
        </is>
      </c>
    </row>
    <row r="26">
      <c r="A26" s="5" t="inlineStr">
        <is>
          <t>Metrica</t>
        </is>
      </c>
      <c r="B26" s="5" t="inlineStr">
        <is>
          <t>Valor</t>
        </is>
      </c>
      <c r="C26" s="5" t="inlineStr"/>
      <c r="D26" s="5" t="inlineStr">
        <is>
          <t>Unidad</t>
        </is>
      </c>
      <c r="E26" s="5" t="inlineStr"/>
      <c r="F26" s="5" t="inlineStr">
        <is>
          <t>Referencia habitual</t>
        </is>
      </c>
    </row>
    <row r="27">
      <c r="A27" s="4" t="inlineStr">
        <is>
          <t>Contribucion media ponderada</t>
        </is>
      </c>
      <c r="B27" s="28">
        <f>Unit_Economics!E18*Supuestos!B8+Unit_Economics!F18*Supuestos!C8+Unit_Economics!G18*Supuestos!D8</f>
        <v/>
      </c>
      <c r="D27" s="19" t="inlineStr">
        <is>
          <t>€/mes</t>
        </is>
      </c>
      <c r="F27" s="19" t="inlineStr">
        <is>
          <t>La que ya calcula el modelo</t>
        </is>
      </c>
    </row>
    <row r="28">
      <c r="A28" s="4" t="inlineStr">
        <is>
          <t>Meses para recuperar el CAC</t>
        </is>
      </c>
      <c r="B28" s="60">
        <f>IFERROR(B21/B27,"")</f>
        <v/>
      </c>
      <c r="D28" s="19" t="inlineStr">
        <is>
          <t>meses</t>
        </is>
      </c>
      <c r="F28" s="19" t="inlineStr">
        <is>
          <t>Por debajo de 12 se considera sano</t>
        </is>
      </c>
    </row>
    <row r="29">
      <c r="A29" s="4" t="inlineStr">
        <is>
          <t>Vida media del cliente</t>
        </is>
      </c>
      <c r="B29" s="60">
        <f>IFERROR(1/B11,"")</f>
        <v/>
      </c>
      <c r="D29" s="19" t="inlineStr">
        <is>
          <t>meses</t>
        </is>
      </c>
      <c r="F29" s="19" t="inlineStr">
        <is>
          <t>1 / churn mensual</t>
        </is>
      </c>
    </row>
    <row r="30">
      <c r="A30" s="4" t="inlineStr">
        <is>
          <t>LTV (contribucion x vida)</t>
        </is>
      </c>
      <c r="B30" s="28">
        <f>IFERROR(B27*B29,"")</f>
        <v/>
      </c>
      <c r="D30" s="19" t="inlineStr">
        <is>
          <t>€</t>
        </is>
      </c>
      <c r="F30" s="19" t="inlineStr">
        <is>
          <t>Sin descuento financiero</t>
        </is>
      </c>
    </row>
    <row r="31">
      <c r="A31" s="4" t="inlineStr">
        <is>
          <t>LTV / CAC</t>
        </is>
      </c>
      <c r="B31" s="61">
        <f>IFERROR(B30/B21,"")</f>
        <v/>
      </c>
      <c r="D31" s="19" t="inlineStr">
        <is>
          <t>veces</t>
        </is>
      </c>
      <c r="F31" s="19" t="inlineStr">
        <is>
          <t>Referencia SaaS: 3x o mas</t>
        </is>
      </c>
    </row>
    <row r="32">
      <c r="A32" s="4" t="inlineStr">
        <is>
          <t>Veredicto</t>
        </is>
      </c>
      <c r="B32" s="62">
        <f>IF(B31="","Faltan datos",IF(AND(B31&gt;=3,B28&lt;=12),"Sano",IF(B31&gt;=1,"Ajustado: revisar precio o embudo","Insostenible: cada cliente pierde dinero")))</f>
        <v/>
      </c>
      <c r="D32" s="19" t="inlineStr"/>
      <c r="F32" s="19" t="inlineStr">
        <is>
          <t>Se calcula solo al rellenar las entradas</t>
        </is>
      </c>
    </row>
    <row r="34">
      <c r="A34" s="3" t="inlineStr">
        <is>
          <t>Impacto de los ads en el punto de equilibrio</t>
        </is>
      </c>
    </row>
    <row r="35">
      <c r="A35" s="5" t="inlineStr">
        <is>
          <t>Metrica</t>
        </is>
      </c>
      <c r="B35" s="5" t="inlineStr">
        <is>
          <t>Sin ads</t>
        </is>
      </c>
      <c r="C35" s="5" t="inlineStr">
        <is>
          <t>Con ads</t>
        </is>
      </c>
      <c r="D35" s="5" t="inlineStr">
        <is>
          <t>Unidad</t>
        </is>
      </c>
      <c r="E35" s="5" t="inlineStr"/>
      <c r="F35" s="5" t="inlineStr">
        <is>
          <t>Nota</t>
        </is>
      </c>
    </row>
    <row r="36">
      <c r="A36" s="4" t="inlineStr">
        <is>
          <t>Coste fijo mensual</t>
        </is>
      </c>
      <c r="B36" s="24">
        <f>Supuestos!B41</f>
        <v/>
      </c>
      <c r="C36" s="24">
        <f>Supuestos!B41+IFERROR(B6,0)</f>
        <v/>
      </c>
      <c r="D36" s="19" t="inlineStr"/>
      <c r="F36" s="22" t="inlineStr">
        <is>
          <t>El presupuesto de ads se suma al opex mientras dure la campana</t>
        </is>
      </c>
    </row>
    <row r="37">
      <c r="A37" s="4" t="inlineStr">
        <is>
          <t>Clientes para equilibrio</t>
        </is>
      </c>
      <c r="B37" s="29">
        <f>IFERROR(ROUNDUP(B36/$B$27,0),"")</f>
        <v/>
      </c>
      <c r="C37" s="29">
        <f>IFERROR(ROUNDUP(C36/$B$27,0),"")</f>
        <v/>
      </c>
      <c r="D37" s="19" t="inlineStr"/>
      <c r="F37" s="22" t="inlineStr">
        <is>
          <t>Con la contribucion media ponderada</t>
        </is>
      </c>
    </row>
    <row r="38">
      <c r="A38" s="4" t="inlineStr">
        <is>
          <t>Clientes adicionales que exige el ads</t>
        </is>
      </c>
      <c r="B38" s="29" t="n"/>
      <c r="C38" s="63">
        <f>IFERROR(C37-B37,"")</f>
        <v/>
      </c>
      <c r="D38" s="19" t="inlineStr"/>
      <c r="F38" s="22" t="inlineStr">
        <is>
          <t>Los que la campana debe traer solo para pagarse</t>
        </is>
      </c>
    </row>
    <row r="39">
      <c r="A39" s="4" t="inlineStr">
        <is>
          <t>Meses para conseguirlos</t>
        </is>
      </c>
      <c r="B39" s="60" t="n"/>
      <c r="C39" s="64">
        <f>IFERROR(C38/B19,"")</f>
        <v/>
      </c>
      <c r="D39" s="19" t="inlineStr"/>
      <c r="F39" s="22" t="inlineStr">
        <is>
          <t>Al ritmo de captacion calculado arriba</t>
        </is>
      </c>
    </row>
    <row r="41">
      <c r="A41" s="16" t="inlineStr">
        <is>
          <t>Por que los ads van en su propia hoja</t>
        </is>
      </c>
    </row>
    <row r="42">
      <c r="A42" s="22" t="inlineStr">
        <is>
          <t>El resto del libro mide lo que cuesta SERVIR a un cliente que ya tienes. La publicidad mide lo que cuesta CONSEGUIRLO, y se comporta al reves: si cortas la campana manana, el gasto desaparece pero los clientes captados siguen pagando. Por eso no se mezcla con el COGS ni con el margen de contribucion: se trata como una inversion con un plazo de recuperacion, que es la fila 'Meses para recuperar el CAC'. Si ese plazo supera la vida media del cliente, la campana destruye valor aunque el margen por cuenta sea excelente.</t>
        </is>
      </c>
    </row>
    <row r="43"/>
    <row r="44"/>
    <row r="45"/>
  </sheetData>
  <mergeCells count="7">
    <mergeCell ref="A2:F2"/>
    <mergeCell ref="A14:F14"/>
    <mergeCell ref="A1:F1"/>
    <mergeCell ref="A42:F45"/>
    <mergeCell ref="A34:F34"/>
    <mergeCell ref="A4:F4"/>
    <mergeCell ref="A25:F25"/>
  </mergeCells>
  <pageMargins left="0.75" right="0.75" top="1" bottom="1" header="0.5" footer="0.5"/>
</worksheet>
</file>

<file path=xl/worksheets/sheet10.xml><?xml version="1.0" encoding="utf-8"?>
<worksheet xmlns="http://schemas.openxmlformats.org/spreadsheetml/2006/main">
  <sheetPr>
    <tabColor rgb="FF14463B"/>
    <outlinePr summaryBelow="1" summaryRight="1"/>
    <pageSetUpPr/>
  </sheetPr>
  <dimension ref="A1:F28"/>
  <sheetViews>
    <sheetView showGridLines="0" workbookViewId="0">
      <selection activeCell="A1" sqref="A1"/>
    </sheetView>
  </sheetViews>
  <sheetFormatPr baseColWidth="8" defaultRowHeight="15"/>
  <cols>
    <col width="34" customWidth="1" min="1" max="1"/>
    <col width="18" customWidth="1" min="2" max="2"/>
    <col width="18" customWidth="1" min="3" max="3"/>
    <col width="18" customWidth="1" min="4" max="4"/>
    <col width="14" customWidth="1" min="5" max="5"/>
    <col width="40" customWidth="1" min="6" max="6"/>
  </cols>
  <sheetData>
    <row r="1" ht="26" customHeight="1">
      <c r="A1" s="1" t="inlineStr">
        <is>
          <t>Escenarios de planificacion</t>
        </is>
      </c>
    </row>
    <row r="2" ht="30" customHeight="1">
      <c r="A2" s="2" t="inlineStr">
        <is>
          <t>Tres futuros con los mismos costes unitarios y distinta velocidad comercial. El selector de la celda B5 alimenta la hoja PyG_Proyeccion. Las celdas naranjas estan vacias: la velocidad comercial es una decision del founder, no un dato del repositorio.</t>
        </is>
      </c>
    </row>
    <row r="5">
      <c r="A5" s="16" t="inlineStr">
        <is>
          <t>Escenario activo</t>
        </is>
      </c>
      <c r="B5" s="65" t="inlineStr">
        <is>
          <t>Base</t>
        </is>
      </c>
      <c r="C5" s="66" t="inlineStr">
        <is>
          <t>Elige de la lista desplegable</t>
        </is>
      </c>
    </row>
    <row r="7">
      <c r="A7" s="3" t="inlineStr">
        <is>
          <t>Palancas por escenario</t>
        </is>
      </c>
    </row>
    <row r="8">
      <c r="A8" s="5" t="inlineStr">
        <is>
          <t>Palanca</t>
        </is>
      </c>
      <c r="B8" s="5" t="inlineStr">
        <is>
          <t>Pesimista</t>
        </is>
      </c>
      <c r="C8" s="5" t="inlineStr">
        <is>
          <t>Base</t>
        </is>
      </c>
      <c r="D8" s="5" t="inlineStr">
        <is>
          <t>Optimista</t>
        </is>
      </c>
      <c r="E8" s="5" t="inlineStr">
        <is>
          <t>Unidad</t>
        </is>
      </c>
      <c r="F8" s="5" t="inlineStr">
        <is>
          <t>Nota</t>
        </is>
      </c>
    </row>
    <row r="9">
      <c r="A9" s="4" t="inlineStr">
        <is>
          <t>Altas netas mes 1</t>
        </is>
      </c>
      <c r="B9" s="67" t="n"/>
      <c r="C9" s="68" t="n">
        <v>4</v>
      </c>
      <c r="D9" s="67" t="n"/>
      <c r="E9" s="19" t="inlineStr">
        <is>
          <t>clientes</t>
        </is>
      </c>
      <c r="F9" s="22" t="inlineStr">
        <is>
          <t>Base = el piloto de 3-5 comprometido en Tareas-vivas</t>
        </is>
      </c>
    </row>
    <row r="10">
      <c r="A10" s="4" t="inlineStr">
        <is>
          <t>Crecimiento mensual de altas</t>
        </is>
      </c>
      <c r="B10" s="69" t="n"/>
      <c r="C10" s="69" t="n"/>
      <c r="D10" s="69" t="n"/>
      <c r="E10" s="19" t="inlineStr">
        <is>
          <t>%</t>
        </is>
      </c>
      <c r="F10" s="22" t="inlineStr">
        <is>
          <t>PENDIENTE: depende del presupuesto de ads y del boca a boca</t>
        </is>
      </c>
    </row>
    <row r="11">
      <c r="A11" s="4" t="inlineStr">
        <is>
          <t>Churn mensual</t>
        </is>
      </c>
      <c r="B11" s="69" t="n"/>
      <c r="C11" s="69" t="n"/>
      <c r="D11" s="69" t="n"/>
      <c r="E11" s="19" t="inlineStr">
        <is>
          <t>%</t>
        </is>
      </c>
      <c r="F11" s="22" t="inlineStr">
        <is>
          <t>PENDIENTE: solo se sabra tras dos cierres del piloto</t>
        </is>
      </c>
    </row>
    <row r="12">
      <c r="A12" s="4" t="inlineStr">
        <is>
          <t>Mix Autonomo</t>
        </is>
      </c>
      <c r="B12" s="69" t="n"/>
      <c r="C12" s="70" t="n">
        <v>0.55</v>
      </c>
      <c r="D12" s="69" t="n"/>
      <c r="E12" s="19" t="inlineStr">
        <is>
          <t>%</t>
        </is>
      </c>
      <c r="F12" s="22" t="inlineStr">
        <is>
          <t>Base = mix del analisis</t>
        </is>
      </c>
    </row>
    <row r="13">
      <c r="A13" s="4" t="inlineStr">
        <is>
          <t>Mix Negocio</t>
        </is>
      </c>
      <c r="B13" s="69" t="n"/>
      <c r="C13" s="70" t="n">
        <v>0.35</v>
      </c>
      <c r="D13" s="69" t="n"/>
      <c r="E13" s="19" t="inlineStr">
        <is>
          <t>%</t>
        </is>
      </c>
      <c r="F13" s="22" t="inlineStr">
        <is>
          <t>Base = mix del analisis</t>
        </is>
      </c>
    </row>
    <row r="14">
      <c r="A14" s="4" t="inlineStr">
        <is>
          <t>Mix Premium</t>
        </is>
      </c>
      <c r="B14" s="69" t="n"/>
      <c r="C14" s="70" t="n">
        <v>0.1</v>
      </c>
      <c r="D14" s="69" t="n"/>
      <c r="E14" s="19" t="inlineStr">
        <is>
          <t>%</t>
        </is>
      </c>
      <c r="F14" s="22" t="inlineStr">
        <is>
          <t>Base = mix del analisis</t>
        </is>
      </c>
    </row>
    <row r="15">
      <c r="A15" s="4" t="inlineStr">
        <is>
          <t>Opex fijo mensual</t>
        </is>
      </c>
      <c r="B15" s="71" t="n"/>
      <c r="C15" s="72" t="n">
        <v>3500</v>
      </c>
      <c r="D15" s="71" t="n"/>
      <c r="E15" s="19" t="inlineStr">
        <is>
          <t>€/mes</t>
        </is>
      </c>
      <c r="F15" s="22" t="inlineStr">
        <is>
          <t>SUPUESTO hasta rellenar Datos_Pendientes</t>
        </is>
      </c>
    </row>
    <row r="16">
      <c r="A16" s="4" t="inlineStr">
        <is>
          <t>Presupuesto de ads</t>
        </is>
      </c>
      <c r="B16" s="71" t="n"/>
      <c r="C16" s="71" t="n"/>
      <c r="D16" s="71" t="n"/>
      <c r="E16" s="19" t="inlineStr">
        <is>
          <t>€/mes</t>
        </is>
      </c>
      <c r="F16" s="22" t="inlineStr">
        <is>
          <t>PENDIENTE: enlaza con la hoja Ads_Captacion</t>
        </is>
      </c>
    </row>
    <row r="19">
      <c r="A19" s="3" t="inlineStr">
        <is>
          <t>Valores activos (los que usa la proyeccion)</t>
        </is>
      </c>
    </row>
    <row r="20">
      <c r="A20" s="5" t="inlineStr">
        <is>
          <t>Palanca</t>
        </is>
      </c>
      <c r="B20" s="5" t="inlineStr">
        <is>
          <t>Valor activo</t>
        </is>
      </c>
      <c r="C20" s="5" t="inlineStr"/>
      <c r="D20" s="5" t="inlineStr">
        <is>
          <t>Unidad</t>
        </is>
      </c>
      <c r="E20" s="5" t="inlineStr"/>
      <c r="F20" s="5" t="inlineStr"/>
    </row>
    <row r="21">
      <c r="A21" s="4" t="inlineStr">
        <is>
          <t>Altas netas mes 1</t>
        </is>
      </c>
      <c r="B21" s="73">
        <f>IF($B$5="Pesimista",B9,IF($B$5="Optimista",D9,C9))</f>
        <v/>
      </c>
      <c r="D21" s="19" t="inlineStr">
        <is>
          <t>clientes</t>
        </is>
      </c>
    </row>
    <row r="22">
      <c r="A22" s="4" t="inlineStr">
        <is>
          <t>Crecimiento mensual de altas</t>
        </is>
      </c>
      <c r="B22" s="27">
        <f>IF($B$5="Pesimista",B10,IF($B$5="Optimista",D10,C10))</f>
        <v/>
      </c>
      <c r="D22" s="19" t="inlineStr">
        <is>
          <t>%</t>
        </is>
      </c>
    </row>
    <row r="23">
      <c r="A23" s="4" t="inlineStr">
        <is>
          <t>Churn mensual</t>
        </is>
      </c>
      <c r="B23" s="27">
        <f>IF($B$5="Pesimista",B11,IF($B$5="Optimista",D11,C11))</f>
        <v/>
      </c>
      <c r="D23" s="19" t="inlineStr">
        <is>
          <t>%</t>
        </is>
      </c>
    </row>
    <row r="24">
      <c r="A24" s="4" t="inlineStr">
        <is>
          <t>Mix Autonomo</t>
        </is>
      </c>
      <c r="B24" s="27">
        <f>IF($B$5="Pesimista",B12,IF($B$5="Optimista",D12,C12))</f>
        <v/>
      </c>
      <c r="D24" s="19" t="inlineStr">
        <is>
          <t>%</t>
        </is>
      </c>
    </row>
    <row r="25">
      <c r="A25" s="4" t="inlineStr">
        <is>
          <t>Mix Negocio</t>
        </is>
      </c>
      <c r="B25" s="27">
        <f>IF($B$5="Pesimista",B13,IF($B$5="Optimista",D13,C13))</f>
        <v/>
      </c>
      <c r="D25" s="19" t="inlineStr">
        <is>
          <t>%</t>
        </is>
      </c>
    </row>
    <row r="26">
      <c r="A26" s="4" t="inlineStr">
        <is>
          <t>Mix Premium</t>
        </is>
      </c>
      <c r="B26" s="27">
        <f>IF($B$5="Pesimista",B14,IF($B$5="Optimista",D14,C14))</f>
        <v/>
      </c>
      <c r="D26" s="19" t="inlineStr">
        <is>
          <t>%</t>
        </is>
      </c>
    </row>
    <row r="27">
      <c r="A27" s="4" t="inlineStr">
        <is>
          <t>Opex fijo mensual</t>
        </is>
      </c>
      <c r="B27" s="25">
        <f>IF($B$5="Pesimista",B15,IF($B$5="Optimista",D15,C15))</f>
        <v/>
      </c>
      <c r="D27" s="19" t="inlineStr">
        <is>
          <t>€/mes</t>
        </is>
      </c>
    </row>
    <row r="28">
      <c r="A28" s="4" t="inlineStr">
        <is>
          <t>Presupuesto de ads</t>
        </is>
      </c>
      <c r="B28" s="25">
        <f>IF($B$5="Pesimista",B16,IF($B$5="Optimista",D16,C16))</f>
        <v/>
      </c>
      <c r="D28" s="19" t="inlineStr">
        <is>
          <t>€/mes</t>
        </is>
      </c>
    </row>
  </sheetData>
  <mergeCells count="4">
    <mergeCell ref="A19:F19"/>
    <mergeCell ref="A2:F2"/>
    <mergeCell ref="A1:F1"/>
    <mergeCell ref="A7:F7"/>
  </mergeCells>
  <dataValidations count="1">
    <dataValidation sqref="B5" showDropDown="0" showInputMessage="0" showErrorMessage="0" allowBlank="0" type="list">
      <formula1>"Pesimista,Base,Optimista"</formula1>
    </dataValidation>
  </dataValidations>
  <pageMargins left="0.75" right="0.75" top="1" bottom="1" header="0.5" footer="0.5"/>
</worksheet>
</file>

<file path=xl/worksheets/sheet11.xml><?xml version="1.0" encoding="utf-8"?>
<worksheet xmlns="http://schemas.openxmlformats.org/spreadsheetml/2006/main">
  <sheetPr>
    <tabColor rgb="FF14463B"/>
    <outlinePr summaryBelow="1" summaryRight="1"/>
    <pageSetUpPr/>
  </sheetPr>
  <dimension ref="A1:M40"/>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3" customWidth="1" min="2" max="2"/>
    <col width="10" customWidth="1" min="3" max="3"/>
    <col width="10" customWidth="1" min="4" max="4"/>
    <col width="13" customWidth="1" min="5" max="5"/>
    <col width="14" customWidth="1" min="6" max="6"/>
    <col width="13" customWidth="1" min="7" max="7"/>
    <col width="13" customWidth="1" min="8" max="8"/>
    <col width="12" customWidth="1" min="9" max="9"/>
    <col width="11" customWidth="1" min="10" max="10"/>
    <col width="13" customWidth="1" min="11" max="11"/>
    <col width="14" customWidth="1" min="12" max="12"/>
    <col width="15" customWidth="1" min="13" max="13"/>
  </cols>
  <sheetData>
    <row r="1" ht="26" customHeight="1">
      <c r="A1" s="1" t="inlineStr">
        <is>
          <t>Proyeccion a 24 meses</t>
        </is>
      </c>
    </row>
    <row r="2" ht="30" customHeight="1">
      <c r="A2" s="2" t="inlineStr">
        <is>
          <t>Cuenta de resultados mensual y caja acumulada, gobernada por el escenario activo de la hoja Escenarios. Mientras el crecimiento y el churn esten vacios, la cartera se queda plana: es lo honesto, no un fallo.</t>
        </is>
      </c>
    </row>
    <row r="4">
      <c r="A4" s="5" t="inlineStr">
        <is>
          <t>Mes</t>
        </is>
      </c>
      <c r="B4" s="5" t="inlineStr">
        <is>
          <t>Cartera inicio</t>
        </is>
      </c>
      <c r="C4" s="5" t="inlineStr">
        <is>
          <t>Altas</t>
        </is>
      </c>
      <c r="D4" s="5" t="inlineStr">
        <is>
          <t>Bajas</t>
        </is>
      </c>
      <c r="E4" s="5" t="inlineStr">
        <is>
          <t>Cartera fin</t>
        </is>
      </c>
      <c r="F4" s="5" t="inlineStr">
        <is>
          <t>MRR</t>
        </is>
      </c>
      <c r="G4" s="5" t="inlineStr">
        <is>
          <t>COGS</t>
        </is>
      </c>
      <c r="H4" s="5" t="inlineStr">
        <is>
          <t>Margen bruto</t>
        </is>
      </c>
      <c r="I4" s="5" t="inlineStr">
        <is>
          <t>Opex fijo</t>
        </is>
      </c>
      <c r="J4" s="5" t="inlineStr">
        <is>
          <t>Ads</t>
        </is>
      </c>
      <c r="K4" s="5" t="inlineStr">
        <is>
          <t>Resultado</t>
        </is>
      </c>
      <c r="L4" s="5" t="inlineStr">
        <is>
          <t>Caja acumulada</t>
        </is>
      </c>
      <c r="M4" s="5" t="inlineStr">
        <is>
          <t>ARR</t>
        </is>
      </c>
    </row>
    <row r="5">
      <c r="A5" s="4" t="n">
        <v>0</v>
      </c>
      <c r="B5" s="74" t="n">
        <v>0</v>
      </c>
      <c r="C5" t="n">
        <v>0</v>
      </c>
      <c r="D5" t="n">
        <v>0</v>
      </c>
      <c r="E5">
        <f>B5+C5-D5</f>
        <v/>
      </c>
      <c r="L5">
        <f>Datos_Pendientes!B15</f>
        <v/>
      </c>
    </row>
    <row r="6">
      <c r="A6" s="4" t="n">
        <v>1</v>
      </c>
      <c r="B6" s="75">
        <f>E5</f>
        <v/>
      </c>
      <c r="C6" s="75">
        <f>IFERROR(ROUND('Escenarios'!$B$21*(1+'Escenarios'!$B$22)^0,1),0)</f>
        <v/>
      </c>
      <c r="D6" s="75">
        <f>IFERROR(ROUND(B6*'Escenarios'!$B$23,1),0)</f>
        <v/>
      </c>
      <c r="E6" s="75">
        <f>B6+C6-D6</f>
        <v/>
      </c>
      <c r="F6" s="15">
        <f>E6*(Supuestos!$B$7*'Escenarios'!$B$24+Supuestos!$C$7*'Escenarios'!$B$25+Supuestos!$D$7*'Escenarios'!$B$26)</f>
        <v/>
      </c>
      <c r="G6" s="15">
        <f>E6*('Unit_Economics'!$E$13*'Escenarios'!$B$24+'Unit_Economics'!$F$13*'Escenarios'!$B$25+'Unit_Economics'!$G$13*'Escenarios'!$B$26)</f>
        <v/>
      </c>
      <c r="H6" s="15">
        <f>F6-G6</f>
        <v/>
      </c>
      <c r="I6" s="15">
        <f>'Escenarios'!$B$27</f>
        <v/>
      </c>
      <c r="J6" s="15">
        <f>IFERROR('Escenarios'!$B$28,0)</f>
        <v/>
      </c>
      <c r="K6" s="52">
        <f>H6-I6-J6</f>
        <v/>
      </c>
      <c r="L6" s="52">
        <f>L5+K6</f>
        <v/>
      </c>
      <c r="M6" s="15">
        <f>F6*12</f>
        <v/>
      </c>
    </row>
    <row r="7">
      <c r="A7" s="4" t="n">
        <v>2</v>
      </c>
      <c r="B7" s="75">
        <f>E6</f>
        <v/>
      </c>
      <c r="C7" s="75">
        <f>IFERROR(ROUND('Escenarios'!$B$21*(1+'Escenarios'!$B$22)^1,1),0)</f>
        <v/>
      </c>
      <c r="D7" s="75">
        <f>IFERROR(ROUND(B7*'Escenarios'!$B$23,1),0)</f>
        <v/>
      </c>
      <c r="E7" s="75">
        <f>B7+C7-D7</f>
        <v/>
      </c>
      <c r="F7" s="15">
        <f>E7*(Supuestos!$B$7*'Escenarios'!$B$24+Supuestos!$C$7*'Escenarios'!$B$25+Supuestos!$D$7*'Escenarios'!$B$26)</f>
        <v/>
      </c>
      <c r="G7" s="15">
        <f>E7*('Unit_Economics'!$E$13*'Escenarios'!$B$24+'Unit_Economics'!$F$13*'Escenarios'!$B$25+'Unit_Economics'!$G$13*'Escenarios'!$B$26)</f>
        <v/>
      </c>
      <c r="H7" s="15">
        <f>F7-G7</f>
        <v/>
      </c>
      <c r="I7" s="15">
        <f>'Escenarios'!$B$27</f>
        <v/>
      </c>
      <c r="J7" s="15">
        <f>IFERROR('Escenarios'!$B$28,0)</f>
        <v/>
      </c>
      <c r="K7" s="52">
        <f>H7-I7-J7</f>
        <v/>
      </c>
      <c r="L7" s="52">
        <f>L6+K7</f>
        <v/>
      </c>
      <c r="M7" s="15">
        <f>F7*12</f>
        <v/>
      </c>
    </row>
    <row r="8">
      <c r="A8" s="4" t="n">
        <v>3</v>
      </c>
      <c r="B8" s="75">
        <f>E7</f>
        <v/>
      </c>
      <c r="C8" s="75">
        <f>IFERROR(ROUND('Escenarios'!$B$21*(1+'Escenarios'!$B$22)^2,1),0)</f>
        <v/>
      </c>
      <c r="D8" s="75">
        <f>IFERROR(ROUND(B8*'Escenarios'!$B$23,1),0)</f>
        <v/>
      </c>
      <c r="E8" s="75">
        <f>B8+C8-D8</f>
        <v/>
      </c>
      <c r="F8" s="15">
        <f>E8*(Supuestos!$B$7*'Escenarios'!$B$24+Supuestos!$C$7*'Escenarios'!$B$25+Supuestos!$D$7*'Escenarios'!$B$26)</f>
        <v/>
      </c>
      <c r="G8" s="15">
        <f>E8*('Unit_Economics'!$E$13*'Escenarios'!$B$24+'Unit_Economics'!$F$13*'Escenarios'!$B$25+'Unit_Economics'!$G$13*'Escenarios'!$B$26)</f>
        <v/>
      </c>
      <c r="H8" s="15">
        <f>F8-G8</f>
        <v/>
      </c>
      <c r="I8" s="15">
        <f>'Escenarios'!$B$27</f>
        <v/>
      </c>
      <c r="J8" s="15">
        <f>IFERROR('Escenarios'!$B$28,0)</f>
        <v/>
      </c>
      <c r="K8" s="52">
        <f>H8-I8-J8</f>
        <v/>
      </c>
      <c r="L8" s="52">
        <f>L7+K8</f>
        <v/>
      </c>
      <c r="M8" s="15">
        <f>F8*12</f>
        <v/>
      </c>
    </row>
    <row r="9">
      <c r="A9" s="4" t="n">
        <v>4</v>
      </c>
      <c r="B9" s="75">
        <f>E8</f>
        <v/>
      </c>
      <c r="C9" s="75">
        <f>IFERROR(ROUND('Escenarios'!$B$21*(1+'Escenarios'!$B$22)^3,1),0)</f>
        <v/>
      </c>
      <c r="D9" s="75">
        <f>IFERROR(ROUND(B9*'Escenarios'!$B$23,1),0)</f>
        <v/>
      </c>
      <c r="E9" s="75">
        <f>B9+C9-D9</f>
        <v/>
      </c>
      <c r="F9" s="15">
        <f>E9*(Supuestos!$B$7*'Escenarios'!$B$24+Supuestos!$C$7*'Escenarios'!$B$25+Supuestos!$D$7*'Escenarios'!$B$26)</f>
        <v/>
      </c>
      <c r="G9" s="15">
        <f>E9*('Unit_Economics'!$E$13*'Escenarios'!$B$24+'Unit_Economics'!$F$13*'Escenarios'!$B$25+'Unit_Economics'!$G$13*'Escenarios'!$B$26)</f>
        <v/>
      </c>
      <c r="H9" s="15">
        <f>F9-G9</f>
        <v/>
      </c>
      <c r="I9" s="15">
        <f>'Escenarios'!$B$27</f>
        <v/>
      </c>
      <c r="J9" s="15">
        <f>IFERROR('Escenarios'!$B$28,0)</f>
        <v/>
      </c>
      <c r="K9" s="52">
        <f>H9-I9-J9</f>
        <v/>
      </c>
      <c r="L9" s="52">
        <f>L8+K9</f>
        <v/>
      </c>
      <c r="M9" s="15">
        <f>F9*12</f>
        <v/>
      </c>
    </row>
    <row r="10">
      <c r="A10" s="4" t="n">
        <v>5</v>
      </c>
      <c r="B10" s="75">
        <f>E9</f>
        <v/>
      </c>
      <c r="C10" s="75">
        <f>IFERROR(ROUND('Escenarios'!$B$21*(1+'Escenarios'!$B$22)^4,1),0)</f>
        <v/>
      </c>
      <c r="D10" s="75">
        <f>IFERROR(ROUND(B10*'Escenarios'!$B$23,1),0)</f>
        <v/>
      </c>
      <c r="E10" s="75">
        <f>B10+C10-D10</f>
        <v/>
      </c>
      <c r="F10" s="15">
        <f>E10*(Supuestos!$B$7*'Escenarios'!$B$24+Supuestos!$C$7*'Escenarios'!$B$25+Supuestos!$D$7*'Escenarios'!$B$26)</f>
        <v/>
      </c>
      <c r="G10" s="15">
        <f>E10*('Unit_Economics'!$E$13*'Escenarios'!$B$24+'Unit_Economics'!$F$13*'Escenarios'!$B$25+'Unit_Economics'!$G$13*'Escenarios'!$B$26)</f>
        <v/>
      </c>
      <c r="H10" s="15">
        <f>F10-G10</f>
        <v/>
      </c>
      <c r="I10" s="15">
        <f>'Escenarios'!$B$27</f>
        <v/>
      </c>
      <c r="J10" s="15">
        <f>IFERROR('Escenarios'!$B$28,0)</f>
        <v/>
      </c>
      <c r="K10" s="52">
        <f>H10-I10-J10</f>
        <v/>
      </c>
      <c r="L10" s="52">
        <f>L9+K10</f>
        <v/>
      </c>
      <c r="M10" s="15">
        <f>F10*12</f>
        <v/>
      </c>
    </row>
    <row r="11">
      <c r="A11" s="4" t="n">
        <v>6</v>
      </c>
      <c r="B11" s="75">
        <f>E10</f>
        <v/>
      </c>
      <c r="C11" s="75">
        <f>IFERROR(ROUND('Escenarios'!$B$21*(1+'Escenarios'!$B$22)^5,1),0)</f>
        <v/>
      </c>
      <c r="D11" s="75">
        <f>IFERROR(ROUND(B11*'Escenarios'!$B$23,1),0)</f>
        <v/>
      </c>
      <c r="E11" s="75">
        <f>B11+C11-D11</f>
        <v/>
      </c>
      <c r="F11" s="15">
        <f>E11*(Supuestos!$B$7*'Escenarios'!$B$24+Supuestos!$C$7*'Escenarios'!$B$25+Supuestos!$D$7*'Escenarios'!$B$26)</f>
        <v/>
      </c>
      <c r="G11" s="15">
        <f>E11*('Unit_Economics'!$E$13*'Escenarios'!$B$24+'Unit_Economics'!$F$13*'Escenarios'!$B$25+'Unit_Economics'!$G$13*'Escenarios'!$B$26)</f>
        <v/>
      </c>
      <c r="H11" s="15">
        <f>F11-G11</f>
        <v/>
      </c>
      <c r="I11" s="15">
        <f>'Escenarios'!$B$27</f>
        <v/>
      </c>
      <c r="J11" s="15">
        <f>IFERROR('Escenarios'!$B$28,0)</f>
        <v/>
      </c>
      <c r="K11" s="52">
        <f>H11-I11-J11</f>
        <v/>
      </c>
      <c r="L11" s="52">
        <f>L10+K11</f>
        <v/>
      </c>
      <c r="M11" s="15">
        <f>F11*12</f>
        <v/>
      </c>
    </row>
    <row r="12">
      <c r="A12" s="4" t="n">
        <v>7</v>
      </c>
      <c r="B12" s="75">
        <f>E11</f>
        <v/>
      </c>
      <c r="C12" s="75">
        <f>IFERROR(ROUND('Escenarios'!$B$21*(1+'Escenarios'!$B$22)^6,1),0)</f>
        <v/>
      </c>
      <c r="D12" s="75">
        <f>IFERROR(ROUND(B12*'Escenarios'!$B$23,1),0)</f>
        <v/>
      </c>
      <c r="E12" s="75">
        <f>B12+C12-D12</f>
        <v/>
      </c>
      <c r="F12" s="15">
        <f>E12*(Supuestos!$B$7*'Escenarios'!$B$24+Supuestos!$C$7*'Escenarios'!$B$25+Supuestos!$D$7*'Escenarios'!$B$26)</f>
        <v/>
      </c>
      <c r="G12" s="15">
        <f>E12*('Unit_Economics'!$E$13*'Escenarios'!$B$24+'Unit_Economics'!$F$13*'Escenarios'!$B$25+'Unit_Economics'!$G$13*'Escenarios'!$B$26)</f>
        <v/>
      </c>
      <c r="H12" s="15">
        <f>F12-G12</f>
        <v/>
      </c>
      <c r="I12" s="15">
        <f>'Escenarios'!$B$27</f>
        <v/>
      </c>
      <c r="J12" s="15">
        <f>IFERROR('Escenarios'!$B$28,0)</f>
        <v/>
      </c>
      <c r="K12" s="52">
        <f>H12-I12-J12</f>
        <v/>
      </c>
      <c r="L12" s="52">
        <f>L11+K12</f>
        <v/>
      </c>
      <c r="M12" s="15">
        <f>F12*12</f>
        <v/>
      </c>
    </row>
    <row r="13">
      <c r="A13" s="4" t="n">
        <v>8</v>
      </c>
      <c r="B13" s="75">
        <f>E12</f>
        <v/>
      </c>
      <c r="C13" s="75">
        <f>IFERROR(ROUND('Escenarios'!$B$21*(1+'Escenarios'!$B$22)^7,1),0)</f>
        <v/>
      </c>
      <c r="D13" s="75">
        <f>IFERROR(ROUND(B13*'Escenarios'!$B$23,1),0)</f>
        <v/>
      </c>
      <c r="E13" s="75">
        <f>B13+C13-D13</f>
        <v/>
      </c>
      <c r="F13" s="15">
        <f>E13*(Supuestos!$B$7*'Escenarios'!$B$24+Supuestos!$C$7*'Escenarios'!$B$25+Supuestos!$D$7*'Escenarios'!$B$26)</f>
        <v/>
      </c>
      <c r="G13" s="15">
        <f>E13*('Unit_Economics'!$E$13*'Escenarios'!$B$24+'Unit_Economics'!$F$13*'Escenarios'!$B$25+'Unit_Economics'!$G$13*'Escenarios'!$B$26)</f>
        <v/>
      </c>
      <c r="H13" s="15">
        <f>F13-G13</f>
        <v/>
      </c>
      <c r="I13" s="15">
        <f>'Escenarios'!$B$27</f>
        <v/>
      </c>
      <c r="J13" s="15">
        <f>IFERROR('Escenarios'!$B$28,0)</f>
        <v/>
      </c>
      <c r="K13" s="52">
        <f>H13-I13-J13</f>
        <v/>
      </c>
      <c r="L13" s="52">
        <f>L12+K13</f>
        <v/>
      </c>
      <c r="M13" s="15">
        <f>F13*12</f>
        <v/>
      </c>
    </row>
    <row r="14">
      <c r="A14" s="4" t="n">
        <v>9</v>
      </c>
      <c r="B14" s="75">
        <f>E13</f>
        <v/>
      </c>
      <c r="C14" s="75">
        <f>IFERROR(ROUND('Escenarios'!$B$21*(1+'Escenarios'!$B$22)^8,1),0)</f>
        <v/>
      </c>
      <c r="D14" s="75">
        <f>IFERROR(ROUND(B14*'Escenarios'!$B$23,1),0)</f>
        <v/>
      </c>
      <c r="E14" s="75">
        <f>B14+C14-D14</f>
        <v/>
      </c>
      <c r="F14" s="15">
        <f>E14*(Supuestos!$B$7*'Escenarios'!$B$24+Supuestos!$C$7*'Escenarios'!$B$25+Supuestos!$D$7*'Escenarios'!$B$26)</f>
        <v/>
      </c>
      <c r="G14" s="15">
        <f>E14*('Unit_Economics'!$E$13*'Escenarios'!$B$24+'Unit_Economics'!$F$13*'Escenarios'!$B$25+'Unit_Economics'!$G$13*'Escenarios'!$B$26)</f>
        <v/>
      </c>
      <c r="H14" s="15">
        <f>F14-G14</f>
        <v/>
      </c>
      <c r="I14" s="15">
        <f>'Escenarios'!$B$27</f>
        <v/>
      </c>
      <c r="J14" s="15">
        <f>IFERROR('Escenarios'!$B$28,0)</f>
        <v/>
      </c>
      <c r="K14" s="52">
        <f>H14-I14-J14</f>
        <v/>
      </c>
      <c r="L14" s="52">
        <f>L13+K14</f>
        <v/>
      </c>
      <c r="M14" s="15">
        <f>F14*12</f>
        <v/>
      </c>
    </row>
    <row r="15">
      <c r="A15" s="4" t="n">
        <v>10</v>
      </c>
      <c r="B15" s="75">
        <f>E14</f>
        <v/>
      </c>
      <c r="C15" s="75">
        <f>IFERROR(ROUND('Escenarios'!$B$21*(1+'Escenarios'!$B$22)^9,1),0)</f>
        <v/>
      </c>
      <c r="D15" s="75">
        <f>IFERROR(ROUND(B15*'Escenarios'!$B$23,1),0)</f>
        <v/>
      </c>
      <c r="E15" s="75">
        <f>B15+C15-D15</f>
        <v/>
      </c>
      <c r="F15" s="15">
        <f>E15*(Supuestos!$B$7*'Escenarios'!$B$24+Supuestos!$C$7*'Escenarios'!$B$25+Supuestos!$D$7*'Escenarios'!$B$26)</f>
        <v/>
      </c>
      <c r="G15" s="15">
        <f>E15*('Unit_Economics'!$E$13*'Escenarios'!$B$24+'Unit_Economics'!$F$13*'Escenarios'!$B$25+'Unit_Economics'!$G$13*'Escenarios'!$B$26)</f>
        <v/>
      </c>
      <c r="H15" s="15">
        <f>F15-G15</f>
        <v/>
      </c>
      <c r="I15" s="15">
        <f>'Escenarios'!$B$27</f>
        <v/>
      </c>
      <c r="J15" s="15">
        <f>IFERROR('Escenarios'!$B$28,0)</f>
        <v/>
      </c>
      <c r="K15" s="52">
        <f>H15-I15-J15</f>
        <v/>
      </c>
      <c r="L15" s="52">
        <f>L14+K15</f>
        <v/>
      </c>
      <c r="M15" s="15">
        <f>F15*12</f>
        <v/>
      </c>
    </row>
    <row r="16">
      <c r="A16" s="4" t="n">
        <v>11</v>
      </c>
      <c r="B16" s="75">
        <f>E15</f>
        <v/>
      </c>
      <c r="C16" s="75">
        <f>IFERROR(ROUND('Escenarios'!$B$21*(1+'Escenarios'!$B$22)^10,1),0)</f>
        <v/>
      </c>
      <c r="D16" s="75">
        <f>IFERROR(ROUND(B16*'Escenarios'!$B$23,1),0)</f>
        <v/>
      </c>
      <c r="E16" s="75">
        <f>B16+C16-D16</f>
        <v/>
      </c>
      <c r="F16" s="15">
        <f>E16*(Supuestos!$B$7*'Escenarios'!$B$24+Supuestos!$C$7*'Escenarios'!$B$25+Supuestos!$D$7*'Escenarios'!$B$26)</f>
        <v/>
      </c>
      <c r="G16" s="15">
        <f>E16*('Unit_Economics'!$E$13*'Escenarios'!$B$24+'Unit_Economics'!$F$13*'Escenarios'!$B$25+'Unit_Economics'!$G$13*'Escenarios'!$B$26)</f>
        <v/>
      </c>
      <c r="H16" s="15">
        <f>F16-G16</f>
        <v/>
      </c>
      <c r="I16" s="15">
        <f>'Escenarios'!$B$27</f>
        <v/>
      </c>
      <c r="J16" s="15">
        <f>IFERROR('Escenarios'!$B$28,0)</f>
        <v/>
      </c>
      <c r="K16" s="52">
        <f>H16-I16-J16</f>
        <v/>
      </c>
      <c r="L16" s="52">
        <f>L15+K16</f>
        <v/>
      </c>
      <c r="M16" s="15">
        <f>F16*12</f>
        <v/>
      </c>
    </row>
    <row r="17">
      <c r="A17" s="4" t="n">
        <v>12</v>
      </c>
      <c r="B17" s="75">
        <f>E16</f>
        <v/>
      </c>
      <c r="C17" s="75">
        <f>IFERROR(ROUND('Escenarios'!$B$21*(1+'Escenarios'!$B$22)^11,1),0)</f>
        <v/>
      </c>
      <c r="D17" s="75">
        <f>IFERROR(ROUND(B17*'Escenarios'!$B$23,1),0)</f>
        <v/>
      </c>
      <c r="E17" s="75">
        <f>B17+C17-D17</f>
        <v/>
      </c>
      <c r="F17" s="15">
        <f>E17*(Supuestos!$B$7*'Escenarios'!$B$24+Supuestos!$C$7*'Escenarios'!$B$25+Supuestos!$D$7*'Escenarios'!$B$26)</f>
        <v/>
      </c>
      <c r="G17" s="15">
        <f>E17*('Unit_Economics'!$E$13*'Escenarios'!$B$24+'Unit_Economics'!$F$13*'Escenarios'!$B$25+'Unit_Economics'!$G$13*'Escenarios'!$B$26)</f>
        <v/>
      </c>
      <c r="H17" s="15">
        <f>F17-G17</f>
        <v/>
      </c>
      <c r="I17" s="15">
        <f>'Escenarios'!$B$27</f>
        <v/>
      </c>
      <c r="J17" s="15">
        <f>IFERROR('Escenarios'!$B$28,0)</f>
        <v/>
      </c>
      <c r="K17" s="52">
        <f>H17-I17-J17</f>
        <v/>
      </c>
      <c r="L17" s="52">
        <f>L16+K17</f>
        <v/>
      </c>
      <c r="M17" s="15">
        <f>F17*12</f>
        <v/>
      </c>
    </row>
    <row r="18">
      <c r="A18" s="4" t="n">
        <v>13</v>
      </c>
      <c r="B18" s="75">
        <f>E17</f>
        <v/>
      </c>
      <c r="C18" s="75">
        <f>IFERROR(ROUND('Escenarios'!$B$21*(1+'Escenarios'!$B$22)^12,1),0)</f>
        <v/>
      </c>
      <c r="D18" s="75">
        <f>IFERROR(ROUND(B18*'Escenarios'!$B$23,1),0)</f>
        <v/>
      </c>
      <c r="E18" s="75">
        <f>B18+C18-D18</f>
        <v/>
      </c>
      <c r="F18" s="15">
        <f>E18*(Supuestos!$B$7*'Escenarios'!$B$24+Supuestos!$C$7*'Escenarios'!$B$25+Supuestos!$D$7*'Escenarios'!$B$26)</f>
        <v/>
      </c>
      <c r="G18" s="15">
        <f>E18*('Unit_Economics'!$E$13*'Escenarios'!$B$24+'Unit_Economics'!$F$13*'Escenarios'!$B$25+'Unit_Economics'!$G$13*'Escenarios'!$B$26)</f>
        <v/>
      </c>
      <c r="H18" s="15">
        <f>F18-G18</f>
        <v/>
      </c>
      <c r="I18" s="15">
        <f>'Escenarios'!$B$27</f>
        <v/>
      </c>
      <c r="J18" s="15">
        <f>IFERROR('Escenarios'!$B$28,0)</f>
        <v/>
      </c>
      <c r="K18" s="52">
        <f>H18-I18-J18</f>
        <v/>
      </c>
      <c r="L18" s="52">
        <f>L17+K18</f>
        <v/>
      </c>
      <c r="M18" s="15">
        <f>F18*12</f>
        <v/>
      </c>
    </row>
    <row r="19">
      <c r="A19" s="4" t="n">
        <v>14</v>
      </c>
      <c r="B19" s="75">
        <f>E18</f>
        <v/>
      </c>
      <c r="C19" s="75">
        <f>IFERROR(ROUND('Escenarios'!$B$21*(1+'Escenarios'!$B$22)^13,1),0)</f>
        <v/>
      </c>
      <c r="D19" s="75">
        <f>IFERROR(ROUND(B19*'Escenarios'!$B$23,1),0)</f>
        <v/>
      </c>
      <c r="E19" s="75">
        <f>B19+C19-D19</f>
        <v/>
      </c>
      <c r="F19" s="15">
        <f>E19*(Supuestos!$B$7*'Escenarios'!$B$24+Supuestos!$C$7*'Escenarios'!$B$25+Supuestos!$D$7*'Escenarios'!$B$26)</f>
        <v/>
      </c>
      <c r="G19" s="15">
        <f>E19*('Unit_Economics'!$E$13*'Escenarios'!$B$24+'Unit_Economics'!$F$13*'Escenarios'!$B$25+'Unit_Economics'!$G$13*'Escenarios'!$B$26)</f>
        <v/>
      </c>
      <c r="H19" s="15">
        <f>F19-G19</f>
        <v/>
      </c>
      <c r="I19" s="15">
        <f>'Escenarios'!$B$27</f>
        <v/>
      </c>
      <c r="J19" s="15">
        <f>IFERROR('Escenarios'!$B$28,0)</f>
        <v/>
      </c>
      <c r="K19" s="52">
        <f>H19-I19-J19</f>
        <v/>
      </c>
      <c r="L19" s="52">
        <f>L18+K19</f>
        <v/>
      </c>
      <c r="M19" s="15">
        <f>F19*12</f>
        <v/>
      </c>
    </row>
    <row r="20">
      <c r="A20" s="4" t="n">
        <v>15</v>
      </c>
      <c r="B20" s="75">
        <f>E19</f>
        <v/>
      </c>
      <c r="C20" s="75">
        <f>IFERROR(ROUND('Escenarios'!$B$21*(1+'Escenarios'!$B$22)^14,1),0)</f>
        <v/>
      </c>
      <c r="D20" s="75">
        <f>IFERROR(ROUND(B20*'Escenarios'!$B$23,1),0)</f>
        <v/>
      </c>
      <c r="E20" s="75">
        <f>B20+C20-D20</f>
        <v/>
      </c>
      <c r="F20" s="15">
        <f>E20*(Supuestos!$B$7*'Escenarios'!$B$24+Supuestos!$C$7*'Escenarios'!$B$25+Supuestos!$D$7*'Escenarios'!$B$26)</f>
        <v/>
      </c>
      <c r="G20" s="15">
        <f>E20*('Unit_Economics'!$E$13*'Escenarios'!$B$24+'Unit_Economics'!$F$13*'Escenarios'!$B$25+'Unit_Economics'!$G$13*'Escenarios'!$B$26)</f>
        <v/>
      </c>
      <c r="H20" s="15">
        <f>F20-G20</f>
        <v/>
      </c>
      <c r="I20" s="15">
        <f>'Escenarios'!$B$27</f>
        <v/>
      </c>
      <c r="J20" s="15">
        <f>IFERROR('Escenarios'!$B$28,0)</f>
        <v/>
      </c>
      <c r="K20" s="52">
        <f>H20-I20-J20</f>
        <v/>
      </c>
      <c r="L20" s="52">
        <f>L19+K20</f>
        <v/>
      </c>
      <c r="M20" s="15">
        <f>F20*12</f>
        <v/>
      </c>
    </row>
    <row r="21">
      <c r="A21" s="4" t="n">
        <v>16</v>
      </c>
      <c r="B21" s="75">
        <f>E20</f>
        <v/>
      </c>
      <c r="C21" s="75">
        <f>IFERROR(ROUND('Escenarios'!$B$21*(1+'Escenarios'!$B$22)^15,1),0)</f>
        <v/>
      </c>
      <c r="D21" s="75">
        <f>IFERROR(ROUND(B21*'Escenarios'!$B$23,1),0)</f>
        <v/>
      </c>
      <c r="E21" s="75">
        <f>B21+C21-D21</f>
        <v/>
      </c>
      <c r="F21" s="15">
        <f>E21*(Supuestos!$B$7*'Escenarios'!$B$24+Supuestos!$C$7*'Escenarios'!$B$25+Supuestos!$D$7*'Escenarios'!$B$26)</f>
        <v/>
      </c>
      <c r="G21" s="15">
        <f>E21*('Unit_Economics'!$E$13*'Escenarios'!$B$24+'Unit_Economics'!$F$13*'Escenarios'!$B$25+'Unit_Economics'!$G$13*'Escenarios'!$B$26)</f>
        <v/>
      </c>
      <c r="H21" s="15">
        <f>F21-G21</f>
        <v/>
      </c>
      <c r="I21" s="15">
        <f>'Escenarios'!$B$27</f>
        <v/>
      </c>
      <c r="J21" s="15">
        <f>IFERROR('Escenarios'!$B$28,0)</f>
        <v/>
      </c>
      <c r="K21" s="52">
        <f>H21-I21-J21</f>
        <v/>
      </c>
      <c r="L21" s="52">
        <f>L20+K21</f>
        <v/>
      </c>
      <c r="M21" s="15">
        <f>F21*12</f>
        <v/>
      </c>
    </row>
    <row r="22">
      <c r="A22" s="4" t="n">
        <v>17</v>
      </c>
      <c r="B22" s="75">
        <f>E21</f>
        <v/>
      </c>
      <c r="C22" s="75">
        <f>IFERROR(ROUND('Escenarios'!$B$21*(1+'Escenarios'!$B$22)^16,1),0)</f>
        <v/>
      </c>
      <c r="D22" s="75">
        <f>IFERROR(ROUND(B22*'Escenarios'!$B$23,1),0)</f>
        <v/>
      </c>
      <c r="E22" s="75">
        <f>B22+C22-D22</f>
        <v/>
      </c>
      <c r="F22" s="15">
        <f>E22*(Supuestos!$B$7*'Escenarios'!$B$24+Supuestos!$C$7*'Escenarios'!$B$25+Supuestos!$D$7*'Escenarios'!$B$26)</f>
        <v/>
      </c>
      <c r="G22" s="15">
        <f>E22*('Unit_Economics'!$E$13*'Escenarios'!$B$24+'Unit_Economics'!$F$13*'Escenarios'!$B$25+'Unit_Economics'!$G$13*'Escenarios'!$B$26)</f>
        <v/>
      </c>
      <c r="H22" s="15">
        <f>F22-G22</f>
        <v/>
      </c>
      <c r="I22" s="15">
        <f>'Escenarios'!$B$27</f>
        <v/>
      </c>
      <c r="J22" s="15">
        <f>IFERROR('Escenarios'!$B$28,0)</f>
        <v/>
      </c>
      <c r="K22" s="52">
        <f>H22-I22-J22</f>
        <v/>
      </c>
      <c r="L22" s="52">
        <f>L21+K22</f>
        <v/>
      </c>
      <c r="M22" s="15">
        <f>F22*12</f>
        <v/>
      </c>
    </row>
    <row r="23">
      <c r="A23" s="4" t="n">
        <v>18</v>
      </c>
      <c r="B23" s="75">
        <f>E22</f>
        <v/>
      </c>
      <c r="C23" s="75">
        <f>IFERROR(ROUND('Escenarios'!$B$21*(1+'Escenarios'!$B$22)^17,1),0)</f>
        <v/>
      </c>
      <c r="D23" s="75">
        <f>IFERROR(ROUND(B23*'Escenarios'!$B$23,1),0)</f>
        <v/>
      </c>
      <c r="E23" s="75">
        <f>B23+C23-D23</f>
        <v/>
      </c>
      <c r="F23" s="15">
        <f>E23*(Supuestos!$B$7*'Escenarios'!$B$24+Supuestos!$C$7*'Escenarios'!$B$25+Supuestos!$D$7*'Escenarios'!$B$26)</f>
        <v/>
      </c>
      <c r="G23" s="15">
        <f>E23*('Unit_Economics'!$E$13*'Escenarios'!$B$24+'Unit_Economics'!$F$13*'Escenarios'!$B$25+'Unit_Economics'!$G$13*'Escenarios'!$B$26)</f>
        <v/>
      </c>
      <c r="H23" s="15">
        <f>F23-G23</f>
        <v/>
      </c>
      <c r="I23" s="15">
        <f>'Escenarios'!$B$27</f>
        <v/>
      </c>
      <c r="J23" s="15">
        <f>IFERROR('Escenarios'!$B$28,0)</f>
        <v/>
      </c>
      <c r="K23" s="52">
        <f>H23-I23-J23</f>
        <v/>
      </c>
      <c r="L23" s="52">
        <f>L22+K23</f>
        <v/>
      </c>
      <c r="M23" s="15">
        <f>F23*12</f>
        <v/>
      </c>
    </row>
    <row r="24">
      <c r="A24" s="4" t="n">
        <v>19</v>
      </c>
      <c r="B24" s="75">
        <f>E23</f>
        <v/>
      </c>
      <c r="C24" s="75">
        <f>IFERROR(ROUND('Escenarios'!$B$21*(1+'Escenarios'!$B$22)^18,1),0)</f>
        <v/>
      </c>
      <c r="D24" s="75">
        <f>IFERROR(ROUND(B24*'Escenarios'!$B$23,1),0)</f>
        <v/>
      </c>
      <c r="E24" s="75">
        <f>B24+C24-D24</f>
        <v/>
      </c>
      <c r="F24" s="15">
        <f>E24*(Supuestos!$B$7*'Escenarios'!$B$24+Supuestos!$C$7*'Escenarios'!$B$25+Supuestos!$D$7*'Escenarios'!$B$26)</f>
        <v/>
      </c>
      <c r="G24" s="15">
        <f>E24*('Unit_Economics'!$E$13*'Escenarios'!$B$24+'Unit_Economics'!$F$13*'Escenarios'!$B$25+'Unit_Economics'!$G$13*'Escenarios'!$B$26)</f>
        <v/>
      </c>
      <c r="H24" s="15">
        <f>F24-G24</f>
        <v/>
      </c>
      <c r="I24" s="15">
        <f>'Escenarios'!$B$27</f>
        <v/>
      </c>
      <c r="J24" s="15">
        <f>IFERROR('Escenarios'!$B$28,0)</f>
        <v/>
      </c>
      <c r="K24" s="52">
        <f>H24-I24-J24</f>
        <v/>
      </c>
      <c r="L24" s="52">
        <f>L23+K24</f>
        <v/>
      </c>
      <c r="M24" s="15">
        <f>F24*12</f>
        <v/>
      </c>
    </row>
    <row r="25">
      <c r="A25" s="4" t="n">
        <v>20</v>
      </c>
      <c r="B25" s="75">
        <f>E24</f>
        <v/>
      </c>
      <c r="C25" s="75">
        <f>IFERROR(ROUND('Escenarios'!$B$21*(1+'Escenarios'!$B$22)^19,1),0)</f>
        <v/>
      </c>
      <c r="D25" s="75">
        <f>IFERROR(ROUND(B25*'Escenarios'!$B$23,1),0)</f>
        <v/>
      </c>
      <c r="E25" s="75">
        <f>B25+C25-D25</f>
        <v/>
      </c>
      <c r="F25" s="15">
        <f>E25*(Supuestos!$B$7*'Escenarios'!$B$24+Supuestos!$C$7*'Escenarios'!$B$25+Supuestos!$D$7*'Escenarios'!$B$26)</f>
        <v/>
      </c>
      <c r="G25" s="15">
        <f>E25*('Unit_Economics'!$E$13*'Escenarios'!$B$24+'Unit_Economics'!$F$13*'Escenarios'!$B$25+'Unit_Economics'!$G$13*'Escenarios'!$B$26)</f>
        <v/>
      </c>
      <c r="H25" s="15">
        <f>F25-G25</f>
        <v/>
      </c>
      <c r="I25" s="15">
        <f>'Escenarios'!$B$27</f>
        <v/>
      </c>
      <c r="J25" s="15">
        <f>IFERROR('Escenarios'!$B$28,0)</f>
        <v/>
      </c>
      <c r="K25" s="52">
        <f>H25-I25-J25</f>
        <v/>
      </c>
      <c r="L25" s="52">
        <f>L24+K25</f>
        <v/>
      </c>
      <c r="M25" s="15">
        <f>F25*12</f>
        <v/>
      </c>
    </row>
    <row r="26">
      <c r="A26" s="4" t="n">
        <v>21</v>
      </c>
      <c r="B26" s="75">
        <f>E25</f>
        <v/>
      </c>
      <c r="C26" s="75">
        <f>IFERROR(ROUND('Escenarios'!$B$21*(1+'Escenarios'!$B$22)^20,1),0)</f>
        <v/>
      </c>
      <c r="D26" s="75">
        <f>IFERROR(ROUND(B26*'Escenarios'!$B$23,1),0)</f>
        <v/>
      </c>
      <c r="E26" s="75">
        <f>B26+C26-D26</f>
        <v/>
      </c>
      <c r="F26" s="15">
        <f>E26*(Supuestos!$B$7*'Escenarios'!$B$24+Supuestos!$C$7*'Escenarios'!$B$25+Supuestos!$D$7*'Escenarios'!$B$26)</f>
        <v/>
      </c>
      <c r="G26" s="15">
        <f>E26*('Unit_Economics'!$E$13*'Escenarios'!$B$24+'Unit_Economics'!$F$13*'Escenarios'!$B$25+'Unit_Economics'!$G$13*'Escenarios'!$B$26)</f>
        <v/>
      </c>
      <c r="H26" s="15">
        <f>F26-G26</f>
        <v/>
      </c>
      <c r="I26" s="15">
        <f>'Escenarios'!$B$27</f>
        <v/>
      </c>
      <c r="J26" s="15">
        <f>IFERROR('Escenarios'!$B$28,0)</f>
        <v/>
      </c>
      <c r="K26" s="52">
        <f>H26-I26-J26</f>
        <v/>
      </c>
      <c r="L26" s="52">
        <f>L25+K26</f>
        <v/>
      </c>
      <c r="M26" s="15">
        <f>F26*12</f>
        <v/>
      </c>
    </row>
    <row r="27">
      <c r="A27" s="4" t="n">
        <v>22</v>
      </c>
      <c r="B27" s="75">
        <f>E26</f>
        <v/>
      </c>
      <c r="C27" s="75">
        <f>IFERROR(ROUND('Escenarios'!$B$21*(1+'Escenarios'!$B$22)^21,1),0)</f>
        <v/>
      </c>
      <c r="D27" s="75">
        <f>IFERROR(ROUND(B27*'Escenarios'!$B$23,1),0)</f>
        <v/>
      </c>
      <c r="E27" s="75">
        <f>B27+C27-D27</f>
        <v/>
      </c>
      <c r="F27" s="15">
        <f>E27*(Supuestos!$B$7*'Escenarios'!$B$24+Supuestos!$C$7*'Escenarios'!$B$25+Supuestos!$D$7*'Escenarios'!$B$26)</f>
        <v/>
      </c>
      <c r="G27" s="15">
        <f>E27*('Unit_Economics'!$E$13*'Escenarios'!$B$24+'Unit_Economics'!$F$13*'Escenarios'!$B$25+'Unit_Economics'!$G$13*'Escenarios'!$B$26)</f>
        <v/>
      </c>
      <c r="H27" s="15">
        <f>F27-G27</f>
        <v/>
      </c>
      <c r="I27" s="15">
        <f>'Escenarios'!$B$27</f>
        <v/>
      </c>
      <c r="J27" s="15">
        <f>IFERROR('Escenarios'!$B$28,0)</f>
        <v/>
      </c>
      <c r="K27" s="52">
        <f>H27-I27-J27</f>
        <v/>
      </c>
      <c r="L27" s="52">
        <f>L26+K27</f>
        <v/>
      </c>
      <c r="M27" s="15">
        <f>F27*12</f>
        <v/>
      </c>
    </row>
    <row r="28">
      <c r="A28" s="4" t="n">
        <v>23</v>
      </c>
      <c r="B28" s="75">
        <f>E27</f>
        <v/>
      </c>
      <c r="C28" s="75">
        <f>IFERROR(ROUND('Escenarios'!$B$21*(1+'Escenarios'!$B$22)^22,1),0)</f>
        <v/>
      </c>
      <c r="D28" s="75">
        <f>IFERROR(ROUND(B28*'Escenarios'!$B$23,1),0)</f>
        <v/>
      </c>
      <c r="E28" s="75">
        <f>B28+C28-D28</f>
        <v/>
      </c>
      <c r="F28" s="15">
        <f>E28*(Supuestos!$B$7*'Escenarios'!$B$24+Supuestos!$C$7*'Escenarios'!$B$25+Supuestos!$D$7*'Escenarios'!$B$26)</f>
        <v/>
      </c>
      <c r="G28" s="15">
        <f>E28*('Unit_Economics'!$E$13*'Escenarios'!$B$24+'Unit_Economics'!$F$13*'Escenarios'!$B$25+'Unit_Economics'!$G$13*'Escenarios'!$B$26)</f>
        <v/>
      </c>
      <c r="H28" s="15">
        <f>F28-G28</f>
        <v/>
      </c>
      <c r="I28" s="15">
        <f>'Escenarios'!$B$27</f>
        <v/>
      </c>
      <c r="J28" s="15">
        <f>IFERROR('Escenarios'!$B$28,0)</f>
        <v/>
      </c>
      <c r="K28" s="52">
        <f>H28-I28-J28</f>
        <v/>
      </c>
      <c r="L28" s="52">
        <f>L27+K28</f>
        <v/>
      </c>
      <c r="M28" s="15">
        <f>F28*12</f>
        <v/>
      </c>
    </row>
    <row r="29">
      <c r="A29" s="4" t="n">
        <v>24</v>
      </c>
      <c r="B29" s="75">
        <f>E28</f>
        <v/>
      </c>
      <c r="C29" s="75">
        <f>IFERROR(ROUND('Escenarios'!$B$21*(1+'Escenarios'!$B$22)^23,1),0)</f>
        <v/>
      </c>
      <c r="D29" s="75">
        <f>IFERROR(ROUND(B29*'Escenarios'!$B$23,1),0)</f>
        <v/>
      </c>
      <c r="E29" s="75">
        <f>B29+C29-D29</f>
        <v/>
      </c>
      <c r="F29" s="15">
        <f>E29*(Supuestos!$B$7*'Escenarios'!$B$24+Supuestos!$C$7*'Escenarios'!$B$25+Supuestos!$D$7*'Escenarios'!$B$26)</f>
        <v/>
      </c>
      <c r="G29" s="15">
        <f>E29*('Unit_Economics'!$E$13*'Escenarios'!$B$24+'Unit_Economics'!$F$13*'Escenarios'!$B$25+'Unit_Economics'!$G$13*'Escenarios'!$B$26)</f>
        <v/>
      </c>
      <c r="H29" s="15">
        <f>F29-G29</f>
        <v/>
      </c>
      <c r="I29" s="15">
        <f>'Escenarios'!$B$27</f>
        <v/>
      </c>
      <c r="J29" s="15">
        <f>IFERROR('Escenarios'!$B$28,0)</f>
        <v/>
      </c>
      <c r="K29" s="52">
        <f>H29-I29-J29</f>
        <v/>
      </c>
      <c r="L29" s="52">
        <f>L28+K29</f>
        <v/>
      </c>
      <c r="M29" s="15">
        <f>F29*12</f>
        <v/>
      </c>
    </row>
    <row r="31">
      <c r="A31" s="16" t="inlineStr">
        <is>
          <t>Indicadores derivados</t>
        </is>
      </c>
    </row>
    <row r="32">
      <c r="A32" s="4" t="inlineStr">
        <is>
          <t>Mes en que el resultado se vuelve positivo</t>
        </is>
      </c>
      <c r="C32" s="17">
        <f>IFERROR(INDEX($A$6:$A$29,MATCH(TRUE,INDEX($K$6:$K$29&gt;=0,0),0)),"No llega en 24 meses")</f>
        <v/>
      </c>
    </row>
    <row r="33">
      <c r="A33" s="4" t="inlineStr">
        <is>
          <t>Caja minima alcanzada</t>
        </is>
      </c>
      <c r="C33" s="18">
        <f>MIN(L6:L29)</f>
        <v/>
      </c>
    </row>
    <row r="34">
      <c r="A34" s="4" t="inlineStr">
        <is>
          <t>Mes de caja minima</t>
        </is>
      </c>
      <c r="C34" s="17">
        <f>IFERROR(INDEX($A$6:$A$29,MATCH(MIN($L$6:$L$29),$L$6:$L$29,0)),"")</f>
        <v/>
      </c>
    </row>
    <row r="35">
      <c r="A35" s="4" t="inlineStr">
        <is>
          <t>Cartera al mes 24</t>
        </is>
      </c>
      <c r="C35" s="17">
        <f>E29</f>
        <v/>
      </c>
    </row>
    <row r="36">
      <c r="A36" s="4" t="inlineStr">
        <is>
          <t>ARR al mes 24</t>
        </is>
      </c>
      <c r="C36" s="18">
        <f>M29</f>
        <v/>
      </c>
    </row>
    <row r="38">
      <c r="A38" s="22" t="inlineStr">
        <is>
          <t>La caja minima es la cifra que decide si el proyecto sobrevive: es el dinero que hay que tener disponible antes de empezar. Si supera el capital aportado, el plan no es financiable tal cual y hay que recortar opex, subir precio o retrasar la contratacion.</t>
        </is>
      </c>
    </row>
    <row r="39"/>
    <row r="40"/>
  </sheetData>
  <mergeCells count="4">
    <mergeCell ref="A31:B31"/>
    <mergeCell ref="A2:M2"/>
    <mergeCell ref="A1:M1"/>
    <mergeCell ref="A38:M40"/>
  </mergeCells>
  <conditionalFormatting sqref="K6:L29">
    <cfRule type="cellIs" priority="1" operator="lessThan" dxfId="2">
      <formula>0</formula>
    </cfRule>
    <cfRule type="cellIs" priority="2" operator="greaterThanOrEqual" dxfId="3">
      <formula>0</formula>
    </cfRule>
  </conditionalFormatting>
  <pageMargins left="0.75" right="0.75" top="1" bottom="1" header="0.5" footer="0.5"/>
</worksheet>
</file>

<file path=xl/worksheets/sheet12.xml><?xml version="1.0" encoding="utf-8"?>
<worksheet xmlns="http://schemas.openxmlformats.org/spreadsheetml/2006/main">
  <sheetPr>
    <tabColor rgb="FF14463B"/>
    <outlinePr summaryBelow="1" summaryRight="1"/>
    <pageSetUpPr/>
  </sheetPr>
  <dimension ref="A1:H18"/>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6" customHeight="1">
      <c r="A1" s="1" t="inlineStr">
        <is>
          <t>Sensibilidad del punto de equilibrio</t>
        </is>
      </c>
    </row>
    <row r="2" ht="30" customHeight="1">
      <c r="A2" s="2" t="inlineStr">
        <is>
          <t>Cuantas cuentas hacen falta segun el opex real y la contribucion media. Sirve para responder 'si me equivoco en el gasto fijo, cuanto me duele'. La fila y la columna gris son entradas.</t>
        </is>
      </c>
    </row>
    <row r="4">
      <c r="A4" s="3" t="inlineStr">
        <is>
          <t>Cuentas necesarias para equilibrio</t>
        </is>
      </c>
    </row>
    <row r="5">
      <c r="A5" s="76" t="inlineStr">
        <is>
          <t>Opex \ Contribucion</t>
        </is>
      </c>
      <c r="B5" s="77" t="n">
        <v>20</v>
      </c>
      <c r="C5" s="77" t="n">
        <v>25</v>
      </c>
      <c r="D5" s="77" t="n">
        <v>29.36</v>
      </c>
      <c r="E5" s="77" t="n">
        <v>35</v>
      </c>
      <c r="F5" s="77" t="n">
        <v>40</v>
      </c>
      <c r="G5" s="77" t="n">
        <v>45</v>
      </c>
      <c r="H5" s="77" t="n">
        <v>50</v>
      </c>
    </row>
    <row r="6">
      <c r="A6" s="78" t="n">
        <v>1500</v>
      </c>
      <c r="B6" s="79">
        <f>IFERROR(ROUNDUP($A6/B$5,0),"")</f>
        <v/>
      </c>
      <c r="C6" s="79">
        <f>IFERROR(ROUNDUP($A6/C$5,0),"")</f>
        <v/>
      </c>
      <c r="D6" s="79">
        <f>IFERROR(ROUNDUP($A6/D$5,0),"")</f>
        <v/>
      </c>
      <c r="E6" s="79">
        <f>IFERROR(ROUNDUP($A6/E$5,0),"")</f>
        <v/>
      </c>
      <c r="F6" s="79">
        <f>IFERROR(ROUNDUP($A6/F$5,0),"")</f>
        <v/>
      </c>
      <c r="G6" s="79">
        <f>IFERROR(ROUNDUP($A6/G$5,0),"")</f>
        <v/>
      </c>
      <c r="H6" s="79">
        <f>IFERROR(ROUNDUP($A6/H$5,0),"")</f>
        <v/>
      </c>
    </row>
    <row r="7">
      <c r="A7" s="78" t="n">
        <v>2000</v>
      </c>
      <c r="B7" s="79">
        <f>IFERROR(ROUNDUP($A7/B$5,0),"")</f>
        <v/>
      </c>
      <c r="C7" s="79">
        <f>IFERROR(ROUNDUP($A7/C$5,0),"")</f>
        <v/>
      </c>
      <c r="D7" s="79">
        <f>IFERROR(ROUNDUP($A7/D$5,0),"")</f>
        <v/>
      </c>
      <c r="E7" s="79">
        <f>IFERROR(ROUNDUP($A7/E$5,0),"")</f>
        <v/>
      </c>
      <c r="F7" s="79">
        <f>IFERROR(ROUNDUP($A7/F$5,0),"")</f>
        <v/>
      </c>
      <c r="G7" s="79">
        <f>IFERROR(ROUNDUP($A7/G$5,0),"")</f>
        <v/>
      </c>
      <c r="H7" s="79">
        <f>IFERROR(ROUNDUP($A7/H$5,0),"")</f>
        <v/>
      </c>
    </row>
    <row r="8">
      <c r="A8" s="78" t="n">
        <v>2500</v>
      </c>
      <c r="B8" s="79">
        <f>IFERROR(ROUNDUP($A8/B$5,0),"")</f>
        <v/>
      </c>
      <c r="C8" s="79">
        <f>IFERROR(ROUNDUP($A8/C$5,0),"")</f>
        <v/>
      </c>
      <c r="D8" s="79">
        <f>IFERROR(ROUNDUP($A8/D$5,0),"")</f>
        <v/>
      </c>
      <c r="E8" s="79">
        <f>IFERROR(ROUNDUP($A8/E$5,0),"")</f>
        <v/>
      </c>
      <c r="F8" s="79">
        <f>IFERROR(ROUNDUP($A8/F$5,0),"")</f>
        <v/>
      </c>
      <c r="G8" s="79">
        <f>IFERROR(ROUNDUP($A8/G$5,0),"")</f>
        <v/>
      </c>
      <c r="H8" s="79">
        <f>IFERROR(ROUNDUP($A8/H$5,0),"")</f>
        <v/>
      </c>
    </row>
    <row r="9">
      <c r="A9" s="78" t="n">
        <v>3000</v>
      </c>
      <c r="B9" s="79">
        <f>IFERROR(ROUNDUP($A9/B$5,0),"")</f>
        <v/>
      </c>
      <c r="C9" s="79">
        <f>IFERROR(ROUNDUP($A9/C$5,0),"")</f>
        <v/>
      </c>
      <c r="D9" s="79">
        <f>IFERROR(ROUNDUP($A9/D$5,0),"")</f>
        <v/>
      </c>
      <c r="E9" s="79">
        <f>IFERROR(ROUNDUP($A9/E$5,0),"")</f>
        <v/>
      </c>
      <c r="F9" s="79">
        <f>IFERROR(ROUNDUP($A9/F$5,0),"")</f>
        <v/>
      </c>
      <c r="G9" s="79">
        <f>IFERROR(ROUNDUP($A9/G$5,0),"")</f>
        <v/>
      </c>
      <c r="H9" s="79">
        <f>IFERROR(ROUNDUP($A9/H$5,0),"")</f>
        <v/>
      </c>
    </row>
    <row r="10">
      <c r="A10" s="78" t="n">
        <v>3500</v>
      </c>
      <c r="B10" s="79">
        <f>IFERROR(ROUNDUP($A10/B$5,0),"")</f>
        <v/>
      </c>
      <c r="C10" s="79">
        <f>IFERROR(ROUNDUP($A10/C$5,0),"")</f>
        <v/>
      </c>
      <c r="D10" s="79">
        <f>IFERROR(ROUNDUP($A10/D$5,0),"")</f>
        <v/>
      </c>
      <c r="E10" s="79">
        <f>IFERROR(ROUNDUP($A10/E$5,0),"")</f>
        <v/>
      </c>
      <c r="F10" s="79">
        <f>IFERROR(ROUNDUP($A10/F$5,0),"")</f>
        <v/>
      </c>
      <c r="G10" s="79">
        <f>IFERROR(ROUNDUP($A10/G$5,0),"")</f>
        <v/>
      </c>
      <c r="H10" s="79">
        <f>IFERROR(ROUNDUP($A10/H$5,0),"")</f>
        <v/>
      </c>
    </row>
    <row r="11">
      <c r="A11" s="78" t="n">
        <v>4000</v>
      </c>
      <c r="B11" s="79">
        <f>IFERROR(ROUNDUP($A11/B$5,0),"")</f>
        <v/>
      </c>
      <c r="C11" s="79">
        <f>IFERROR(ROUNDUP($A11/C$5,0),"")</f>
        <v/>
      </c>
      <c r="D11" s="79">
        <f>IFERROR(ROUNDUP($A11/D$5,0),"")</f>
        <v/>
      </c>
      <c r="E11" s="79">
        <f>IFERROR(ROUNDUP($A11/E$5,0),"")</f>
        <v/>
      </c>
      <c r="F11" s="79">
        <f>IFERROR(ROUNDUP($A11/F$5,0),"")</f>
        <v/>
      </c>
      <c r="G11" s="79">
        <f>IFERROR(ROUNDUP($A11/G$5,0),"")</f>
        <v/>
      </c>
      <c r="H11" s="79">
        <f>IFERROR(ROUNDUP($A11/H$5,0),"")</f>
        <v/>
      </c>
    </row>
    <row r="12">
      <c r="A12" s="78" t="n">
        <v>5000</v>
      </c>
      <c r="B12" s="79">
        <f>IFERROR(ROUNDUP($A12/B$5,0),"")</f>
        <v/>
      </c>
      <c r="C12" s="79">
        <f>IFERROR(ROUNDUP($A12/C$5,0),"")</f>
        <v/>
      </c>
      <c r="D12" s="79">
        <f>IFERROR(ROUNDUP($A12/D$5,0),"")</f>
        <v/>
      </c>
      <c r="E12" s="79">
        <f>IFERROR(ROUNDUP($A12/E$5,0),"")</f>
        <v/>
      </c>
      <c r="F12" s="79">
        <f>IFERROR(ROUNDUP($A12/F$5,0),"")</f>
        <v/>
      </c>
      <c r="G12" s="79">
        <f>IFERROR(ROUNDUP($A12/G$5,0),"")</f>
        <v/>
      </c>
      <c r="H12" s="79">
        <f>IFERROR(ROUNDUP($A12/H$5,0),"")</f>
        <v/>
      </c>
    </row>
    <row r="13">
      <c r="A13" s="78" t="n">
        <v>6000</v>
      </c>
      <c r="B13" s="79">
        <f>IFERROR(ROUNDUP($A13/B$5,0),"")</f>
        <v/>
      </c>
      <c r="C13" s="79">
        <f>IFERROR(ROUNDUP($A13/C$5,0),"")</f>
        <v/>
      </c>
      <c r="D13" s="79">
        <f>IFERROR(ROUNDUP($A13/D$5,0),"")</f>
        <v/>
      </c>
      <c r="E13" s="79">
        <f>IFERROR(ROUNDUP($A13/E$5,0),"")</f>
        <v/>
      </c>
      <c r="F13" s="79">
        <f>IFERROR(ROUNDUP($A13/F$5,0),"")</f>
        <v/>
      </c>
      <c r="G13" s="79">
        <f>IFERROR(ROUNDUP($A13/G$5,0),"")</f>
        <v/>
      </c>
      <c r="H13" s="79">
        <f>IFERROR(ROUNDUP($A13/H$5,0),"")</f>
        <v/>
      </c>
    </row>
    <row r="14">
      <c r="A14" s="78" t="n">
        <v>8000</v>
      </c>
      <c r="B14" s="79">
        <f>IFERROR(ROUNDUP($A14/B$5,0),"")</f>
        <v/>
      </c>
      <c r="C14" s="79">
        <f>IFERROR(ROUNDUP($A14/C$5,0),"")</f>
        <v/>
      </c>
      <c r="D14" s="79">
        <f>IFERROR(ROUNDUP($A14/D$5,0),"")</f>
        <v/>
      </c>
      <c r="E14" s="79">
        <f>IFERROR(ROUNDUP($A14/E$5,0),"")</f>
        <v/>
      </c>
      <c r="F14" s="79">
        <f>IFERROR(ROUNDUP($A14/F$5,0),"")</f>
        <v/>
      </c>
      <c r="G14" s="79">
        <f>IFERROR(ROUNDUP($A14/G$5,0),"")</f>
        <v/>
      </c>
      <c r="H14" s="79">
        <f>IFERROR(ROUNDUP($A14/H$5,0),"")</f>
        <v/>
      </c>
    </row>
    <row r="16">
      <c r="A16" s="22" t="inlineStr">
        <is>
          <t>La columna de 29,36 € es la contribucion media ponderada que calcula el modelo con el mix 55/35/10. Leer la fila del opex real: cada 500 € de gasto fijo de mas son unas 17 cuentas adicionales que hay que vender solo para empatar.</t>
        </is>
      </c>
    </row>
    <row r="17"/>
    <row r="18"/>
  </sheetData>
  <mergeCells count="4">
    <mergeCell ref="A4:H4"/>
    <mergeCell ref="A16:H18"/>
    <mergeCell ref="A2:H2"/>
    <mergeCell ref="A1:H1"/>
  </mergeCells>
  <conditionalFormatting sqref="B6:H14">
    <cfRule type="colorScale" priority="1">
      <colorScale>
        <cfvo type="min"/>
        <cfvo type="max"/>
        <color rgb="FFDDEFE7"/>
        <color rgb="FFF7E8E3"/>
      </colorScale>
    </cfRule>
  </conditionalFormatting>
  <pageMargins left="0.75" right="0.75" top="1" bottom="1" header="0.5" footer="0.5"/>
</worksheet>
</file>

<file path=xl/worksheets/sheet13.xml><?xml version="1.0" encoding="utf-8"?>
<worksheet xmlns="http://schemas.openxmlformats.org/spreadsheetml/2006/main">
  <sheetPr>
    <tabColor rgb="FF14463B"/>
    <outlinePr summaryBelow="1" summaryRight="1"/>
    <pageSetUpPr/>
  </sheetPr>
  <dimension ref="A1:G24"/>
  <sheetViews>
    <sheetView showGridLines="0" workbookViewId="0">
      <selection activeCell="A1" sqref="A1"/>
    </sheetView>
  </sheetViews>
  <sheetFormatPr baseColWidth="8" defaultRowHeight="15"/>
  <cols>
    <col width="30" customWidth="1" min="1" max="1"/>
    <col width="14" customWidth="1" min="2" max="2"/>
    <col width="14" customWidth="1" min="3" max="3"/>
    <col width="14" customWidth="1" min="4" max="4"/>
    <col width="16" customWidth="1" min="5" max="5"/>
    <col width="18" customWidth="1" min="6" max="6"/>
    <col width="34" customWidth="1" min="7" max="7"/>
  </cols>
  <sheetData>
    <row r="1" ht="26" customHeight="1">
      <c r="A1" s="1" t="inlineStr">
        <is>
          <t>Capacidad de soporte y cuando contratar</t>
        </is>
      </c>
    </row>
    <row r="2" ht="30" customHeight="1">
      <c r="A2" s="2" t="inlineStr">
        <is>
          <t>El soporte es el coste que primero rompe el margen al crecer. Traduce cuentas en horas de persona y avisa del punto en el que una sola persona ya no llega.</t>
        </is>
      </c>
    </row>
    <row r="4">
      <c r="A4" s="3" t="inlineStr">
        <is>
          <t>Parametros</t>
        </is>
      </c>
    </row>
    <row r="5">
      <c r="A5" s="4" t="inlineStr">
        <is>
          <t>Horas utiles por persona y mes</t>
        </is>
      </c>
      <c r="B5" s="34" t="n">
        <v>130</v>
      </c>
      <c r="G5" s="19" t="inlineStr">
        <is>
          <t>Jornada completa descontando festivos y tareas internas</t>
        </is>
      </c>
    </row>
    <row r="6">
      <c r="A6" s="4" t="inlineStr">
        <is>
          <t>Minutos de soporte Autonomo</t>
        </is>
      </c>
      <c r="B6" s="29">
        <f>Supuestos!B19</f>
        <v/>
      </c>
      <c r="G6" s="19" t="inlineStr">
        <is>
          <t>De la hoja Supuestos</t>
        </is>
      </c>
    </row>
    <row r="7">
      <c r="A7" s="4" t="inlineStr">
        <is>
          <t>Minutos de soporte Negocio</t>
        </is>
      </c>
      <c r="B7" s="29">
        <f>Supuestos!C19</f>
        <v/>
      </c>
      <c r="G7" s="19" t="inlineStr">
        <is>
          <t>De la hoja Supuestos</t>
        </is>
      </c>
    </row>
    <row r="8">
      <c r="A8" s="4" t="inlineStr">
        <is>
          <t>Minutos de soporte Premium</t>
        </is>
      </c>
      <c r="B8" s="29">
        <f>Supuestos!D19</f>
        <v/>
      </c>
      <c r="G8" s="19" t="inlineStr">
        <is>
          <t>De la hoja Supuestos</t>
        </is>
      </c>
    </row>
    <row r="10">
      <c r="A10" s="3" t="inlineStr">
        <is>
          <t>Carga segun tamano de cartera</t>
        </is>
      </c>
    </row>
    <row r="11">
      <c r="A11" s="5" t="inlineStr">
        <is>
          <t>Cuentas</t>
        </is>
      </c>
      <c r="B11" s="5" t="inlineStr">
        <is>
          <t>Minutos/mes</t>
        </is>
      </c>
      <c r="C11" s="5" t="inlineStr">
        <is>
          <t>Horas/mes</t>
        </is>
      </c>
      <c r="D11" s="5" t="inlineStr">
        <is>
          <t>Personas necesarias</t>
        </is>
      </c>
      <c r="E11" s="5" t="inlineStr">
        <is>
          <t>Coste soporte</t>
        </is>
      </c>
      <c r="F11" s="5" t="inlineStr">
        <is>
          <t>% sobre MRR</t>
        </is>
      </c>
      <c r="G11" s="5" t="inlineStr">
        <is>
          <t>Situacion</t>
        </is>
      </c>
    </row>
    <row r="12">
      <c r="A12" s="80" t="n">
        <v>25</v>
      </c>
      <c r="B12" s="79">
        <f>A12*($B$6*Supuestos!$B$8+$B$7*Supuestos!$C$8+$B$8*Supuestos!$D$8)</f>
        <v/>
      </c>
      <c r="C12" s="79">
        <f>B12/60</f>
        <v/>
      </c>
      <c r="D12" s="81">
        <f>C12/$B$5</f>
        <v/>
      </c>
      <c r="E12" s="15">
        <f>C12*Supuestos!$B$39</f>
        <v/>
      </c>
      <c r="F12" s="49">
        <f>IFERROR(E12/(A12*(Supuestos!$B$7*Supuestos!$B$8+Supuestos!$C$7*Supuestos!$C$8+Supuestos!$D$7*Supuestos!$D$8)),"")</f>
        <v/>
      </c>
      <c r="G12" s="82">
        <f>IF(D12&lt;=0.5,"Lo lleva el founder",IF(D12&lt;=1,"Ocupa a una persona entera",IF(D12&lt;=2,"Hace falta una segunda persona","Equipo de soporte formal")))</f>
        <v/>
      </c>
    </row>
    <row r="13">
      <c r="A13" s="80" t="n">
        <v>50</v>
      </c>
      <c r="B13" s="79">
        <f>A13*($B$6*Supuestos!$B$8+$B$7*Supuestos!$C$8+$B$8*Supuestos!$D$8)</f>
        <v/>
      </c>
      <c r="C13" s="79">
        <f>B13/60</f>
        <v/>
      </c>
      <c r="D13" s="81">
        <f>C13/$B$5</f>
        <v/>
      </c>
      <c r="E13" s="15">
        <f>C13*Supuestos!$B$39</f>
        <v/>
      </c>
      <c r="F13" s="49">
        <f>IFERROR(E13/(A13*(Supuestos!$B$7*Supuestos!$B$8+Supuestos!$C$7*Supuestos!$C$8+Supuestos!$D$7*Supuestos!$D$8)),"")</f>
        <v/>
      </c>
      <c r="G13" s="82">
        <f>IF(D13&lt;=0.5,"Lo lleva el founder",IF(D13&lt;=1,"Ocupa a una persona entera",IF(D13&lt;=2,"Hace falta una segunda persona","Equipo de soporte formal")))</f>
        <v/>
      </c>
    </row>
    <row r="14">
      <c r="A14" s="80" t="n">
        <v>100</v>
      </c>
      <c r="B14" s="79">
        <f>A14*($B$6*Supuestos!$B$8+$B$7*Supuestos!$C$8+$B$8*Supuestos!$D$8)</f>
        <v/>
      </c>
      <c r="C14" s="79">
        <f>B14/60</f>
        <v/>
      </c>
      <c r="D14" s="81">
        <f>C14/$B$5</f>
        <v/>
      </c>
      <c r="E14" s="15">
        <f>C14*Supuestos!$B$39</f>
        <v/>
      </c>
      <c r="F14" s="49">
        <f>IFERROR(E14/(A14*(Supuestos!$B$7*Supuestos!$B$8+Supuestos!$C$7*Supuestos!$C$8+Supuestos!$D$7*Supuestos!$D$8)),"")</f>
        <v/>
      </c>
      <c r="G14" s="82">
        <f>IF(D14&lt;=0.5,"Lo lleva el founder",IF(D14&lt;=1,"Ocupa a una persona entera",IF(D14&lt;=2,"Hace falta una segunda persona","Equipo de soporte formal")))</f>
        <v/>
      </c>
    </row>
    <row r="15">
      <c r="A15" s="80" t="n">
        <v>120</v>
      </c>
      <c r="B15" s="79">
        <f>A15*($B$6*Supuestos!$B$8+$B$7*Supuestos!$C$8+$B$8*Supuestos!$D$8)</f>
        <v/>
      </c>
      <c r="C15" s="79">
        <f>B15/60</f>
        <v/>
      </c>
      <c r="D15" s="81">
        <f>C15/$B$5</f>
        <v/>
      </c>
      <c r="E15" s="15">
        <f>C15*Supuestos!$B$39</f>
        <v/>
      </c>
      <c r="F15" s="49">
        <f>IFERROR(E15/(A15*(Supuestos!$B$7*Supuestos!$B$8+Supuestos!$C$7*Supuestos!$C$8+Supuestos!$D$7*Supuestos!$D$8)),"")</f>
        <v/>
      </c>
      <c r="G15" s="82">
        <f>IF(D15&lt;=0.5,"Lo lleva el founder",IF(D15&lt;=1,"Ocupa a una persona entera",IF(D15&lt;=2,"Hace falta una segunda persona","Equipo de soporte formal")))</f>
        <v/>
      </c>
    </row>
    <row r="16">
      <c r="A16" s="80" t="n">
        <v>200</v>
      </c>
      <c r="B16" s="79">
        <f>A16*($B$6*Supuestos!$B$8+$B$7*Supuestos!$C$8+$B$8*Supuestos!$D$8)</f>
        <v/>
      </c>
      <c r="C16" s="79">
        <f>B16/60</f>
        <v/>
      </c>
      <c r="D16" s="81">
        <f>C16/$B$5</f>
        <v/>
      </c>
      <c r="E16" s="15">
        <f>C16*Supuestos!$B$39</f>
        <v/>
      </c>
      <c r="F16" s="49">
        <f>IFERROR(E16/(A16*(Supuestos!$B$7*Supuestos!$B$8+Supuestos!$C$7*Supuestos!$C$8+Supuestos!$D$7*Supuestos!$D$8)),"")</f>
        <v/>
      </c>
      <c r="G16" s="82">
        <f>IF(D16&lt;=0.5,"Lo lleva el founder",IF(D16&lt;=1,"Ocupa a una persona entera",IF(D16&lt;=2,"Hace falta una segunda persona","Equipo de soporte formal")))</f>
        <v/>
      </c>
    </row>
    <row r="17">
      <c r="A17" s="80" t="n">
        <v>300</v>
      </c>
      <c r="B17" s="79">
        <f>A17*($B$6*Supuestos!$B$8+$B$7*Supuestos!$C$8+$B$8*Supuestos!$D$8)</f>
        <v/>
      </c>
      <c r="C17" s="79">
        <f>B17/60</f>
        <v/>
      </c>
      <c r="D17" s="81">
        <f>C17/$B$5</f>
        <v/>
      </c>
      <c r="E17" s="15">
        <f>C17*Supuestos!$B$39</f>
        <v/>
      </c>
      <c r="F17" s="49">
        <f>IFERROR(E17/(A17*(Supuestos!$B$7*Supuestos!$B$8+Supuestos!$C$7*Supuestos!$C$8+Supuestos!$D$7*Supuestos!$D$8)),"")</f>
        <v/>
      </c>
      <c r="G17" s="82">
        <f>IF(D17&lt;=0.5,"Lo lleva el founder",IF(D17&lt;=1,"Ocupa a una persona entera",IF(D17&lt;=2,"Hace falta una segunda persona","Equipo de soporte formal")))</f>
        <v/>
      </c>
    </row>
    <row r="18">
      <c r="A18" s="80" t="n">
        <v>500</v>
      </c>
      <c r="B18" s="79">
        <f>A18*($B$6*Supuestos!$B$8+$B$7*Supuestos!$C$8+$B$8*Supuestos!$D$8)</f>
        <v/>
      </c>
      <c r="C18" s="79">
        <f>B18/60</f>
        <v/>
      </c>
      <c r="D18" s="81">
        <f>C18/$B$5</f>
        <v/>
      </c>
      <c r="E18" s="15">
        <f>C18*Supuestos!$B$39</f>
        <v/>
      </c>
      <c r="F18" s="49">
        <f>IFERROR(E18/(A18*(Supuestos!$B$7*Supuestos!$B$8+Supuestos!$C$7*Supuestos!$C$8+Supuestos!$D$7*Supuestos!$D$8)),"")</f>
        <v/>
      </c>
      <c r="G18" s="82">
        <f>IF(D18&lt;=0.5,"Lo lleva el founder",IF(D18&lt;=1,"Ocupa a una persona entera",IF(D18&lt;=2,"Hace falta una segunda persona","Equipo de soporte formal")))</f>
        <v/>
      </c>
    </row>
    <row r="19">
      <c r="A19" s="80" t="n">
        <v>750</v>
      </c>
      <c r="B19" s="79">
        <f>A19*($B$6*Supuestos!$B$8+$B$7*Supuestos!$C$8+$B$8*Supuestos!$D$8)</f>
        <v/>
      </c>
      <c r="C19" s="79">
        <f>B19/60</f>
        <v/>
      </c>
      <c r="D19" s="81">
        <f>C19/$B$5</f>
        <v/>
      </c>
      <c r="E19" s="15">
        <f>C19*Supuestos!$B$39</f>
        <v/>
      </c>
      <c r="F19" s="49">
        <f>IFERROR(E19/(A19*(Supuestos!$B$7*Supuestos!$B$8+Supuestos!$C$7*Supuestos!$C$8+Supuestos!$D$7*Supuestos!$D$8)),"")</f>
        <v/>
      </c>
      <c r="G19" s="82">
        <f>IF(D19&lt;=0.5,"Lo lleva el founder",IF(D19&lt;=1,"Ocupa a una persona entera",IF(D19&lt;=2,"Hace falta una segunda persona","Equipo de soporte formal")))</f>
        <v/>
      </c>
    </row>
    <row r="20">
      <c r="A20" s="80" t="n">
        <v>1000</v>
      </c>
      <c r="B20" s="79">
        <f>A20*($B$6*Supuestos!$B$8+$B$7*Supuestos!$C$8+$B$8*Supuestos!$D$8)</f>
        <v/>
      </c>
      <c r="C20" s="79">
        <f>B20/60</f>
        <v/>
      </c>
      <c r="D20" s="81">
        <f>C20/$B$5</f>
        <v/>
      </c>
      <c r="E20" s="15">
        <f>C20*Supuestos!$B$39</f>
        <v/>
      </c>
      <c r="F20" s="49">
        <f>IFERROR(E20/(A20*(Supuestos!$B$7*Supuestos!$B$8+Supuestos!$C$7*Supuestos!$C$8+Supuestos!$D$7*Supuestos!$D$8)),"")</f>
        <v/>
      </c>
      <c r="G20" s="82">
        <f>IF(D20&lt;=0.5,"Lo lleva el founder",IF(D20&lt;=1,"Ocupa a una persona entera",IF(D20&lt;=2,"Hace falta una segunda persona","Equipo de soporte formal")))</f>
        <v/>
      </c>
    </row>
    <row r="22">
      <c r="A22" s="22" t="inlineStr">
        <is>
          <t>El salto de 'lo lleva el founder' a 'una persona entera' es el momento mas peligroso: el coste aparece de golpe y el ingreso crece poco a poco. Conviene tenerlo cubierto en caja antes de llegar, no cuando ya ha llegado.</t>
        </is>
      </c>
    </row>
    <row r="23"/>
    <row r="24"/>
  </sheetData>
  <mergeCells count="5">
    <mergeCell ref="A22:G24"/>
    <mergeCell ref="A1:G1"/>
    <mergeCell ref="A4:G4"/>
    <mergeCell ref="A2:G2"/>
    <mergeCell ref="A10:G10"/>
  </mergeCells>
  <pageMargins left="0.75" right="0.75" top="1" bottom="1" header="0.5" footer="0.5"/>
</worksheet>
</file>

<file path=xl/worksheets/sheet14.xml><?xml version="1.0" encoding="utf-8"?>
<worksheet xmlns="http://schemas.openxmlformats.org/spreadsheetml/2006/main">
  <sheetPr>
    <tabColor rgb="FF2E8B74"/>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40" customWidth="1" min="1" max="1"/>
    <col width="16" customWidth="1" min="2" max="2"/>
    <col width="16" customWidth="1" min="3" max="3"/>
    <col width="14" customWidth="1" min="4" max="4"/>
    <col width="20" customWidth="1" min="5" max="5"/>
    <col width="40" customWidth="1" min="6" max="6"/>
  </cols>
  <sheetData>
    <row r="1" ht="26" customHeight="1">
      <c r="A1" s="1" t="inlineStr">
        <is>
          <t>KPIs que debe responder el piloto</t>
        </is>
      </c>
    </row>
    <row r="2" ht="30" customHeight="1">
      <c r="A2" s="2" t="inlineStr">
        <is>
          <t>Los que ya estan comprometidos en Tareas-vivas y en Unit-economics. La columna Observado se rellena durante los dos cierres semanales del piloto con 3-5 autonomos.</t>
        </is>
      </c>
    </row>
    <row r="4">
      <c r="A4" s="5" t="inlineStr">
        <is>
          <t>Indicador</t>
        </is>
      </c>
      <c r="B4" s="5" t="inlineStr">
        <is>
          <t>Objetivo</t>
        </is>
      </c>
      <c r="C4" s="5" t="inlineStr">
        <is>
          <t>Observado</t>
        </is>
      </c>
      <c r="D4" s="5" t="inlineStr">
        <is>
          <t>Unidad</t>
        </is>
      </c>
      <c r="E4" s="5" t="inlineStr">
        <is>
          <t>Fuente del dato</t>
        </is>
      </c>
      <c r="F4" s="5" t="inlineStr">
        <is>
          <t>Por que importa</t>
        </is>
      </c>
    </row>
    <row r="5">
      <c r="A5" s="4" t="inlineStr">
        <is>
          <t>Resolucion por cerebro interno</t>
        </is>
      </c>
      <c r="B5" s="44" t="n">
        <v>0.6</v>
      </c>
      <c r="C5" s="83" t="n"/>
      <c r="D5" s="19" t="inlineStr">
        <is>
          <t>%</t>
        </is>
      </c>
      <c r="E5" s="19" t="inlineStr">
        <is>
          <t>Logs de IA por negocio</t>
        </is>
      </c>
      <c r="F5" s="22" t="inlineStr">
        <is>
          <t>Si baja del 40% el coste de IA se dispara</t>
        </is>
      </c>
    </row>
    <row r="6">
      <c r="A6" s="4" t="inlineStr">
        <is>
          <t>Activacion: alta hasta primer cobro</t>
        </is>
      </c>
      <c r="B6" s="84" t="n"/>
      <c r="C6" s="83" t="n"/>
      <c r="D6" s="19" t="inlineStr">
        <is>
          <t>dias</t>
        </is>
      </c>
      <c r="E6" s="19" t="inlineStr">
        <is>
          <t>Eventos de producto</t>
        </is>
      </c>
      <c r="F6" s="22" t="inlineStr">
        <is>
          <t>Mide si el producto engancha antes de que caduque la prueba</t>
        </is>
      </c>
    </row>
    <row r="7">
      <c r="A7" s="4" t="inlineStr">
        <is>
          <t>Trabajos cerrados sin facturar</t>
        </is>
      </c>
      <c r="B7" s="84" t="n"/>
      <c r="C7" s="83" t="n"/>
      <c r="D7" s="19" t="inlineStr">
        <is>
          <t>n/mes</t>
        </is>
      </c>
      <c r="E7" s="19" t="inlineStr">
        <is>
          <t>Panel de trabajos</t>
        </is>
      </c>
      <c r="F7" s="22" t="inlineStr">
        <is>
          <t>Es el dinero que Noesis rescata: el argumento de venta</t>
        </is>
      </c>
    </row>
    <row r="8">
      <c r="A8" s="4" t="inlineStr">
        <is>
          <t>Cobros recuperados</t>
        </is>
      </c>
      <c r="B8" s="84" t="n"/>
      <c r="C8" s="83" t="n"/>
      <c r="D8" s="19" t="inlineStr">
        <is>
          <t>€/mes</t>
        </is>
      </c>
      <c r="E8" s="19" t="inlineStr">
        <is>
          <t>Recordatorios y portal</t>
        </is>
      </c>
      <c r="F8" s="22" t="inlineStr">
        <is>
          <t>Convierte la suscripcion en inversion con retorno</t>
        </is>
      </c>
    </row>
    <row r="9">
      <c r="A9" s="4" t="inlineStr">
        <is>
          <t>Tiempo ahorrado declarado</t>
        </is>
      </c>
      <c r="B9" s="84" t="n"/>
      <c r="C9" s="83" t="n"/>
      <c r="D9" s="19" t="inlineStr">
        <is>
          <t>h/semana</t>
        </is>
      </c>
      <c r="E9" s="19" t="inlineStr">
        <is>
          <t>Entrevista de cierre</t>
        </is>
      </c>
      <c r="F9" s="22" t="inlineStr">
        <is>
          <t>El testimonio que sostiene el precio</t>
        </is>
      </c>
    </row>
    <row r="10">
      <c r="A10" s="4" t="inlineStr">
        <is>
          <t>Minutos de soporte por cuenta</t>
        </is>
      </c>
      <c r="B10" s="84" t="n">
        <v>12</v>
      </c>
      <c r="C10" s="83" t="n"/>
      <c r="D10" s="19" t="inlineStr">
        <is>
          <t>min/mes</t>
        </is>
      </c>
      <c r="E10" s="19" t="inlineStr">
        <is>
          <t>Registro de soporte</t>
        </is>
      </c>
      <c r="F10" s="22" t="inlineStr">
        <is>
          <t>Autonomo: el supuesto es 12 min. Es la partida que rompe el margen</t>
        </is>
      </c>
    </row>
    <row r="11">
      <c r="A11" s="4" t="inlineStr">
        <is>
          <t>Minutos de voz consumidos (Premium)</t>
        </is>
      </c>
      <c r="B11" s="84" t="n">
        <v>100</v>
      </c>
      <c r="C11" s="83" t="n"/>
      <c r="D11" s="19" t="inlineStr">
        <is>
          <t>min/mes</t>
        </is>
      </c>
      <c r="E11" s="19" t="inlineStr">
        <is>
          <t>Adaptador de voz</t>
        </is>
      </c>
      <c r="F11" s="22" t="inlineStr">
        <is>
          <t>Si nadie los usa, sacarlos del plan y venderlos como add-on</t>
        </is>
      </c>
    </row>
    <row r="12">
      <c r="A12" s="4" t="inlineStr">
        <is>
          <t>Correcciones sobre lo que propone Noesis</t>
        </is>
      </c>
      <c r="B12" s="84" t="n"/>
      <c r="C12" s="83" t="n"/>
      <c r="D12" s="19" t="inlineStr">
        <is>
          <t>%</t>
        </is>
      </c>
      <c r="E12" s="19" t="inlineStr">
        <is>
          <t>Eventos de correccion</t>
        </is>
      </c>
      <c r="F12" s="22" t="inlineStr">
        <is>
          <t>Mide la confianza real en el asistente</t>
        </is>
      </c>
    </row>
    <row r="13">
      <c r="A13" s="4" t="inlineStr">
        <is>
          <t>Coste por cuenta observado</t>
        </is>
      </c>
      <c r="B13" s="84" t="n">
        <v>1.48</v>
      </c>
      <c r="C13" s="83" t="n"/>
      <c r="D13" s="19" t="inlineStr">
        <is>
          <t>€/mes</t>
        </is>
      </c>
      <c r="E13" s="19" t="inlineStr">
        <is>
          <t>Costes por negocio</t>
        </is>
      </c>
      <c r="F13" s="22" t="inlineStr">
        <is>
          <t>Contrasta con el COGS estimado del modelo</t>
        </is>
      </c>
    </row>
    <row r="14">
      <c r="A14" s="4" t="inlineStr">
        <is>
          <t>Retencion a 60 dias</t>
        </is>
      </c>
      <c r="B14" s="84" t="n"/>
      <c r="C14" s="83" t="n"/>
      <c r="D14" s="19" t="inlineStr">
        <is>
          <t>%</t>
        </is>
      </c>
      <c r="E14" s="19" t="inlineStr">
        <is>
          <t>Suscripciones</t>
        </is>
      </c>
      <c r="F14" s="22" t="inlineStr">
        <is>
          <t>Sin esto no hay LTV defendible</t>
        </is>
      </c>
    </row>
    <row r="15">
      <c r="A15" s="4" t="inlineStr">
        <is>
          <t>CAC por canal</t>
        </is>
      </c>
      <c r="B15" s="84" t="n"/>
      <c r="C15" s="83" t="n"/>
      <c r="D15" s="19" t="inlineStr">
        <is>
          <t>€</t>
        </is>
      </c>
      <c r="E15" s="19" t="inlineStr">
        <is>
          <t>Ads_Captacion</t>
        </is>
      </c>
      <c r="F15" s="22" t="inlineStr">
        <is>
          <t>El supuesto de 150 € esta sin validar</t>
        </is>
      </c>
    </row>
  </sheetData>
  <mergeCells count="2">
    <mergeCell ref="A2:F2"/>
    <mergeCell ref="A1:F1"/>
  </mergeCells>
  <pageMargins left="0.75" right="0.75" top="1" bottom="1" header="0.5" footer="0.5"/>
</worksheet>
</file>

<file path=xl/worksheets/sheet15.xml><?xml version="1.0" encoding="utf-8"?>
<worksheet xmlns="http://schemas.openxmlformats.org/spreadsheetml/2006/main">
  <sheetPr>
    <tabColor rgb="FF14463B"/>
    <outlinePr summaryBelow="1" summaryRight="1"/>
    <pageSetUpPr/>
  </sheetPr>
  <dimension ref="A1:F18"/>
  <sheetViews>
    <sheetView showGridLines="0" workbookViewId="0">
      <selection activeCell="A1" sqref="A1"/>
    </sheetView>
  </sheetViews>
  <sheetFormatPr baseColWidth="8" defaultRowHeight="15"/>
  <cols>
    <col width="34" customWidth="1" min="1" max="1"/>
    <col width="22" customWidth="1" min="2" max="2"/>
    <col width="16" customWidth="1" min="3" max="3"/>
    <col width="16" customWidth="1" min="4" max="4"/>
    <col width="16" customWidth="1" min="5" max="5"/>
    <col width="34" customWidth="1" min="6" max="6"/>
  </cols>
  <sheetData>
    <row r="1" ht="26" customHeight="1">
      <c r="A1" s="1" t="inlineStr">
        <is>
          <t>Coste de IA por opcion</t>
        </is>
      </c>
    </row>
    <row r="2" ht="30" customHeight="1">
      <c r="A2" s="2" t="inlineStr">
        <is>
          <t>Con 8.000 tokens de entrada y 1.200 de salida por interaccion avanzada. Sirve para decidir cuando compensa alojar un modelo propio en lugar de pagar por uso.</t>
        </is>
      </c>
    </row>
    <row r="4">
      <c r="A4" s="5" t="inlineStr">
        <is>
          <t>Opcion</t>
        </is>
      </c>
      <c r="B4" s="5" t="inlineStr">
        <is>
          <t>Coste/interaccion</t>
        </is>
      </c>
      <c r="C4" s="5" t="inlineStr">
        <is>
          <t>75/mes</t>
        </is>
      </c>
      <c r="D4" s="5" t="inlineStr">
        <is>
          <t>300/mes</t>
        </is>
      </c>
      <c r="E4" s="5" t="inlineStr">
        <is>
          <t>1.500/mes</t>
        </is>
      </c>
      <c r="F4" s="5" t="inlineStr">
        <is>
          <t>Nota</t>
        </is>
      </c>
    </row>
    <row r="5">
      <c r="A5" s="4" t="inlineStr">
        <is>
          <t>Cerebro determinista Noesis</t>
        </is>
      </c>
      <c r="B5" s="36" t="n">
        <v>0</v>
      </c>
      <c r="C5" s="32" t="n">
        <v>0</v>
      </c>
      <c r="D5" s="32" t="n">
        <v>0</v>
      </c>
      <c r="E5" s="32" t="n">
        <v>0</v>
      </c>
      <c r="F5" s="19" t="inlineStr">
        <is>
          <t>Codigo propio: sin coste por token</t>
        </is>
      </c>
    </row>
    <row r="6">
      <c r="A6" s="4" t="inlineStr">
        <is>
          <t>Cloudflare Qwen3 30B A3B</t>
        </is>
      </c>
      <c r="B6" s="36" t="n">
        <v>0.0007</v>
      </c>
      <c r="C6" s="32" t="n">
        <v>0.05</v>
      </c>
      <c r="D6" s="32" t="n">
        <v>0.21</v>
      </c>
      <c r="E6" s="32" t="n">
        <v>1.07</v>
      </c>
      <c r="F6" s="19" t="inlineStr">
        <is>
          <t>Proveedor compatible barato</t>
        </is>
      </c>
    </row>
    <row r="7">
      <c r="A7" s="4" t="inlineStr">
        <is>
          <t>Groq Qwen3 32B</t>
        </is>
      </c>
      <c r="B7" s="36" t="n">
        <v>0.0027</v>
      </c>
      <c r="C7" s="32" t="n">
        <v>0.2</v>
      </c>
      <c r="D7" s="32" t="n">
        <v>0.8</v>
      </c>
      <c r="E7" s="32" t="n">
        <v>3.98</v>
      </c>
      <c r="F7" s="19" t="inlineStr">
        <is>
          <t>Latencia baja</t>
        </is>
      </c>
    </row>
    <row r="8">
      <c r="A8" s="4" t="inlineStr">
        <is>
          <t>Anthropic Haiku 4.5</t>
        </is>
      </c>
      <c r="B8" s="36" t="n">
        <v>0.0123</v>
      </c>
      <c r="C8" s="32" t="n">
        <v>0.92</v>
      </c>
      <c r="D8" s="32" t="n">
        <v>3.68</v>
      </c>
      <c r="E8" s="32" t="n">
        <v>18.41</v>
      </c>
      <c r="F8" s="19" t="inlineStr">
        <is>
          <t>Respaldo de calidad</t>
        </is>
      </c>
    </row>
    <row r="10">
      <c r="A10" s="3" t="inlineStr">
        <is>
          <t>Cuando compensa alojar un modelo propio</t>
        </is>
      </c>
    </row>
    <row r="11">
      <c r="A11" s="4" t="inlineStr">
        <is>
          <t>GPU 16 GB a 0,58 USD/h, 730 h/mes</t>
        </is>
      </c>
      <c r="B11" s="4" t="inlineStr">
        <is>
          <t>423,40 USD (~371 € al cambio usado)</t>
        </is>
      </c>
    </row>
    <row r="12">
      <c r="A12" s="4" t="inlineStr">
        <is>
          <t>Cruce frente a Haiku 4.5</t>
        </is>
      </c>
      <c r="B12" s="4" t="inlineStr">
        <is>
          <t>~30.243 interacciones/mes</t>
        </is>
      </c>
    </row>
    <row r="13">
      <c r="A13" s="4" t="inlineStr">
        <is>
          <t>Cruce frente a Groq Qwen3</t>
        </is>
      </c>
      <c r="B13" s="4" t="inlineStr">
        <is>
          <t>~139.828 interacciones/mes</t>
        </is>
      </c>
    </row>
    <row r="14">
      <c r="A14" s="4" t="inlineStr">
        <is>
          <t>Conclusion</t>
        </is>
      </c>
      <c r="B14" s="16" t="inlineStr">
        <is>
          <t>Por debajo de ese volumen, cerebro interno + pago por uso es mas barato y exige menos operacion</t>
        </is>
      </c>
    </row>
    <row r="16">
      <c r="A16" s="22" t="inlineStr">
        <is>
          <t>No existe un servidor publico gratuito adecuado como nucleo de produccion: los tiers gratis pueden cambiar, limitar concurrencia, cortar solicitudes y tratar datos fuera de Noesis. El modelo open source evita licencia por token, pero no elimina computo, seguridad ni mantenimiento.</t>
        </is>
      </c>
    </row>
    <row r="17"/>
    <row r="18"/>
  </sheetData>
  <mergeCells count="8">
    <mergeCell ref="A2:F2"/>
    <mergeCell ref="B12:F12"/>
    <mergeCell ref="A10:F10"/>
    <mergeCell ref="A1:F1"/>
    <mergeCell ref="B11:F11"/>
    <mergeCell ref="B14:F14"/>
    <mergeCell ref="A16:F18"/>
    <mergeCell ref="B13:F13"/>
  </mergeCells>
  <pageMargins left="0.75" right="0.75" top="1" bottom="1" header="0.5" footer="0.5"/>
</worksheet>
</file>

<file path=xl/worksheets/sheet16.xml><?xml version="1.0" encoding="utf-8"?>
<worksheet xmlns="http://schemas.openxmlformats.org/spreadsheetml/2006/main">
  <sheetPr>
    <tabColor rgb="FFC0533F"/>
    <outlinePr summaryBelow="1" summaryRight="1"/>
    <pageSetUpPr/>
  </sheetPr>
  <dimension ref="A1:E20"/>
  <sheetViews>
    <sheetView showGridLines="0" workbookViewId="0">
      <pane ySplit="4" topLeftCell="A5" activePane="bottomLeft" state="frozen"/>
      <selection pane="bottomLeft" activeCell="A1" sqref="A1"/>
    </sheetView>
  </sheetViews>
  <sheetFormatPr baseColWidth="8" defaultRowHeight="15"/>
  <cols>
    <col width="38" customWidth="1" min="1" max="1"/>
    <col width="18" customWidth="1" min="2" max="2"/>
    <col width="18" customWidth="1" min="3" max="3"/>
    <col width="20" customWidth="1" min="4" max="4"/>
    <col width="46" customWidth="1" min="5" max="5"/>
  </cols>
  <sheetData>
    <row r="1" ht="26" customHeight="1">
      <c r="A1" s="1" t="inlineStr">
        <is>
          <t>Datos que faltan — rellenar antes de usar este modelo</t>
        </is>
      </c>
    </row>
    <row r="2" ht="30" customHeight="1">
      <c r="A2" s="2" t="inlineStr">
        <is>
          <t>Estas cifras NO constan en el repositorio y NO se han estimado. Mientras esten vacias, el modelo es un escenario de planificacion y no un reflejo de la empresa. Rellenar la columna Valor real.</t>
        </is>
      </c>
    </row>
    <row r="4">
      <c r="A4" s="5" t="inlineStr">
        <is>
          <t>Concepto</t>
        </is>
      </c>
      <c r="B4" s="5" t="inlineStr">
        <is>
          <t>Valor real</t>
        </is>
      </c>
      <c r="C4" s="5" t="inlineStr">
        <is>
          <t>Unidad</t>
        </is>
      </c>
      <c r="D4" s="5" t="inlineStr">
        <is>
          <t>Quien lo tiene</t>
        </is>
      </c>
      <c r="E4" s="5" t="inlineStr">
        <is>
          <t>Por que hace falta</t>
        </is>
      </c>
    </row>
    <row r="5">
      <c r="A5" s="4" t="inlineStr">
        <is>
          <t>Forma juridica y NIF</t>
        </is>
      </c>
      <c r="B5" s="83" t="inlineStr"/>
      <c r="C5" s="19" t="inlineStr">
        <is>
          <t>texto</t>
        </is>
      </c>
      <c r="D5" s="19" t="inlineStr">
        <is>
          <t>Founder</t>
        </is>
      </c>
      <c r="E5" s="22" t="inlineStr">
        <is>
          <t>Determina IRPF/IS, cuota de autonomos y la verificacion de Meta</t>
        </is>
      </c>
    </row>
    <row r="6">
      <c r="A6" s="4" t="inlineStr">
        <is>
          <t>Reparto societario entre socios</t>
        </is>
      </c>
      <c r="B6" s="83" t="inlineStr"/>
      <c r="C6" s="19" t="inlineStr">
        <is>
          <t>%</t>
        </is>
      </c>
      <c r="D6" s="19" t="inlineStr">
        <is>
          <t>Founder y socio</t>
        </is>
      </c>
      <c r="E6" s="22" t="inlineStr">
        <is>
          <t>Sin el no se puede repartir resultado ni valorar</t>
        </is>
      </c>
    </row>
    <row r="7">
      <c r="A7" s="4" t="inlineStr">
        <is>
          <t>Sueldo o retirada mensual founder</t>
        </is>
      </c>
      <c r="B7" s="83" t="inlineStr"/>
      <c r="C7" s="19" t="inlineStr">
        <is>
          <t>€/mes</t>
        </is>
      </c>
      <c r="D7" s="19" t="inlineStr">
        <is>
          <t>Founder</t>
        </is>
      </c>
      <c r="E7" s="22" t="inlineStr">
        <is>
          <t>Es la mayor partida del opex real; ahora es hipotesis</t>
        </is>
      </c>
    </row>
    <row r="8">
      <c r="A8" s="4" t="inlineStr">
        <is>
          <t>Sueldo o retirada mensual socio</t>
        </is>
      </c>
      <c r="B8" s="83" t="inlineStr"/>
      <c r="C8" s="19" t="inlineStr">
        <is>
          <t>€/mes</t>
        </is>
      </c>
      <c r="D8" s="19" t="inlineStr">
        <is>
          <t>Socio</t>
        </is>
      </c>
      <c r="E8" s="22" t="inlineStr">
        <is>
          <t>Idem</t>
        </is>
      </c>
    </row>
    <row r="9">
      <c r="A9" s="4" t="inlineStr">
        <is>
          <t>Cuota de autonomos por socio</t>
        </is>
      </c>
      <c r="B9" s="83" t="inlineStr"/>
      <c r="C9" s="19" t="inlineStr">
        <is>
          <t>€/mes</t>
        </is>
      </c>
      <c r="D9" s="19" t="inlineStr">
        <is>
          <t>Gestoria</t>
        </is>
      </c>
      <c r="E9" s="22" t="inlineStr">
        <is>
          <t>Coste fijo mensual ineludible</t>
        </is>
      </c>
    </row>
    <row r="10">
      <c r="A10" s="4" t="inlineStr">
        <is>
          <t>Gestoria / asesoria</t>
        </is>
      </c>
      <c r="B10" s="83" t="inlineStr"/>
      <c r="C10" s="19" t="inlineStr">
        <is>
          <t>€/mes</t>
        </is>
      </c>
      <c r="D10" s="19" t="inlineStr">
        <is>
          <t>Gestoria</t>
        </is>
      </c>
      <c r="E10" s="22" t="inlineStr">
        <is>
          <t>Fijo recurrente</t>
        </is>
      </c>
    </row>
    <row r="11">
      <c r="A11" s="4" t="inlineStr">
        <is>
          <t>Factura real de Railway</t>
        </is>
      </c>
      <c r="B11" s="83" t="inlineStr"/>
      <c r="C11" s="19" t="inlineStr">
        <is>
          <t>€/mes</t>
        </is>
      </c>
      <c r="D11" s="19" t="inlineStr">
        <is>
          <t>Founder</t>
        </is>
      </c>
      <c r="E11" s="22" t="inlineStr">
        <is>
          <t>Sustituye el prorrateo de plataforma de 65 €</t>
        </is>
      </c>
    </row>
    <row r="12">
      <c r="A12" s="4" t="inlineStr">
        <is>
          <t>Dominio y correo</t>
        </is>
      </c>
      <c r="B12" s="83" t="inlineStr"/>
      <c r="C12" s="19" t="inlineStr">
        <is>
          <t>€/ano</t>
        </is>
      </c>
      <c r="D12" s="19" t="inlineStr">
        <is>
          <t>Founder</t>
        </is>
      </c>
      <c r="E12" s="22" t="inlineStr">
        <is>
          <t>Fijo menor pero real</t>
        </is>
      </c>
    </row>
    <row r="13">
      <c r="A13" s="4" t="inlineStr">
        <is>
          <t>Herramientas y suscripciones</t>
        </is>
      </c>
      <c r="B13" s="83" t="inlineStr"/>
      <c r="C13" s="19" t="inlineStr">
        <is>
          <t>€/mes</t>
        </is>
      </c>
      <c r="D13" s="19" t="inlineStr">
        <is>
          <t>Founder</t>
        </is>
      </c>
      <c r="E13" s="22" t="inlineStr">
        <is>
          <t>IDE, diseno, analitica, almacenamiento</t>
        </is>
      </c>
    </row>
    <row r="14">
      <c r="A14" s="4" t="inlineStr">
        <is>
          <t>Seguro de responsabilidad civil</t>
        </is>
      </c>
      <c r="B14" s="83" t="inlineStr"/>
      <c r="C14" s="19" t="inlineStr">
        <is>
          <t>€/ano</t>
        </is>
      </c>
      <c r="D14" s="19" t="inlineStr">
        <is>
          <t>Founder</t>
        </is>
      </c>
      <c r="E14" s="22" t="inlineStr">
        <is>
          <t>Habitual antes de operar con datos de terceros</t>
        </is>
      </c>
    </row>
    <row r="15">
      <c r="A15" s="4" t="inlineStr">
        <is>
          <t>Capital aportado a fecha de hoy</t>
        </is>
      </c>
      <c r="B15" s="83" t="inlineStr"/>
      <c r="C15" s="19" t="inlineStr">
        <is>
          <t>€</t>
        </is>
      </c>
      <c r="D15" s="19" t="inlineStr">
        <is>
          <t>Founder y socio</t>
        </is>
      </c>
      <c r="E15" s="22" t="inlineStr">
        <is>
          <t>El vault cita ~4.000 € iniciales; confirmar</t>
        </is>
      </c>
    </row>
    <row r="16">
      <c r="A16" s="4" t="inlineStr">
        <is>
          <t>Ingresos facturados hasta hoy</t>
        </is>
      </c>
      <c r="B16" s="83" t="inlineStr"/>
      <c r="C16" s="19" t="inlineStr">
        <is>
          <t>€</t>
        </is>
      </c>
      <c r="D16" s="19" t="inlineStr">
        <is>
          <t>Founder</t>
        </is>
      </c>
      <c r="E16" s="22" t="inlineStr">
        <is>
          <t>Si es 0, el modelo es prospectivo y debe decirlo</t>
        </is>
      </c>
    </row>
    <row r="17">
      <c r="A17" s="4" t="inlineStr">
        <is>
          <t>Clientes de pago actuales</t>
        </is>
      </c>
      <c r="B17" s="83" t="inlineStr"/>
      <c r="C17" s="19" t="inlineStr">
        <is>
          <t>n</t>
        </is>
      </c>
      <c r="D17" s="19" t="inlineStr">
        <is>
          <t>Founder</t>
        </is>
      </c>
      <c r="E17" s="22" t="inlineStr">
        <is>
          <t>Base para cualquier proyeccion</t>
        </is>
      </c>
    </row>
    <row r="18">
      <c r="A18" s="4" t="inlineStr">
        <is>
          <t>CAC observado por canal</t>
        </is>
      </c>
      <c r="B18" s="83" t="inlineStr"/>
      <c r="C18" s="19" t="inlineStr">
        <is>
          <t>€/cliente</t>
        </is>
      </c>
      <c r="D18" s="19" t="inlineStr">
        <is>
          <t>Piloto</t>
        </is>
      </c>
      <c r="E18" s="22" t="inlineStr">
        <is>
          <t>El 150 € del modelo es un supuesto sin validar</t>
        </is>
      </c>
    </row>
    <row r="19">
      <c r="A19" s="4" t="inlineStr">
        <is>
          <t>Churn mensual observado</t>
        </is>
      </c>
      <c r="B19" s="83" t="inlineStr"/>
      <c r="C19" s="19" t="inlineStr">
        <is>
          <t>%</t>
        </is>
      </c>
      <c r="D19" s="19" t="inlineStr">
        <is>
          <t>Piloto</t>
        </is>
      </c>
      <c r="E19" s="22" t="inlineStr">
        <is>
          <t>Sin el no hay LTV defendible</t>
        </is>
      </c>
    </row>
    <row r="20">
      <c r="A20" s="4" t="inlineStr">
        <is>
          <t>Presupuesto de marketing</t>
        </is>
      </c>
      <c r="B20" s="83" t="inlineStr"/>
      <c r="C20" s="19" t="inlineStr">
        <is>
          <t>€/mes</t>
        </is>
      </c>
      <c r="D20" s="19" t="inlineStr">
        <is>
          <t>Founder</t>
        </is>
      </c>
      <c r="E20" s="22" t="inlineStr">
        <is>
          <t>Entra en el opex y condiciona el crecimiento</t>
        </is>
      </c>
    </row>
  </sheetData>
  <mergeCells count="2">
    <mergeCell ref="A2:E2"/>
    <mergeCell ref="A1:E1"/>
  </mergeCells>
  <pageMargins left="0.75" right="0.75" top="1" bottom="1" header="0.5" footer="0.5"/>
</worksheet>
</file>

<file path=xl/worksheets/sheet17.xml><?xml version="1.0" encoding="utf-8"?>
<worksheet xmlns="http://schemas.openxmlformats.org/spreadsheetml/2006/main">
  <sheetPr>
    <tabColor rgb="FF14463B"/>
    <outlinePr summaryBelow="1" summaryRight="1"/>
    <pageSetUpPr/>
  </sheetPr>
  <dimension ref="A1:D21"/>
  <sheetViews>
    <sheetView showGridLines="0" workbookViewId="0">
      <selection activeCell="A1" sqref="A1"/>
    </sheetView>
  </sheetViews>
  <sheetFormatPr baseColWidth="8" defaultRowHeight="15"/>
  <cols>
    <col width="30" customWidth="1" min="1" max="1"/>
    <col width="30" customWidth="1" min="2" max="2"/>
    <col width="58" customWidth="1" min="3" max="3"/>
    <col width="16" customWidth="1" min="4" max="4"/>
  </cols>
  <sheetData>
    <row r="1" ht="26" customHeight="1">
      <c r="A1" s="1" t="inlineStr">
        <is>
          <t>Fuentes y cautelas</t>
        </is>
      </c>
    </row>
    <row r="2" ht="30" customHeight="1">
      <c r="A2" s="2" t="inlineStr">
        <is>
          <t>Tarifas consultadas el 15/07/2026. Pueden haber cambiado: verificar antes de tomar una decision de precio o de proveedor.</t>
        </is>
      </c>
    </row>
    <row r="4">
      <c r="A4" s="5" t="inlineStr">
        <is>
          <t>Driver</t>
        </is>
      </c>
      <c r="B4" s="5" t="inlineStr">
        <is>
          <t>Proveedor</t>
        </is>
      </c>
      <c r="C4" s="5" t="inlineStr">
        <is>
          <t>URL</t>
        </is>
      </c>
      <c r="D4" s="5" t="inlineStr">
        <is>
          <t>Consultado</t>
        </is>
      </c>
    </row>
    <row r="5">
      <c r="A5" s="4" t="inlineStr">
        <is>
          <t>Comisiones de pago</t>
        </is>
      </c>
      <c r="B5" s="4" t="inlineStr">
        <is>
          <t>Stripe Espana</t>
        </is>
      </c>
      <c r="C5" s="85" t="inlineStr">
        <is>
          <t>https://stripe.com/es/pricing</t>
        </is>
      </c>
      <c r="D5" s="19" t="inlineStr">
        <is>
          <t>15/07/2026</t>
        </is>
      </c>
    </row>
    <row r="6">
      <c r="A6" s="4" t="inlineStr">
        <is>
          <t>Coste de modelo de respaldo</t>
        </is>
      </c>
      <c r="B6" s="4" t="inlineStr">
        <is>
          <t>Anthropic Haiku</t>
        </is>
      </c>
      <c r="C6" s="85" t="inlineStr">
        <is>
          <t>https://www.anthropic.com/claude/haiku</t>
        </is>
      </c>
      <c r="D6" s="19" t="inlineStr">
        <is>
          <t>15/07/2026</t>
        </is>
      </c>
    </row>
    <row r="7">
      <c r="A7" s="4" t="inlineStr">
        <is>
          <t>Plataforma y almacenamiento</t>
        </is>
      </c>
      <c r="B7" s="4" t="inlineStr">
        <is>
          <t>Railway</t>
        </is>
      </c>
      <c r="C7" s="85" t="inlineStr">
        <is>
          <t>https://docs.railway.com/pricing</t>
        </is>
      </c>
      <c r="D7" s="19" t="inlineStr">
        <is>
          <t>15/07/2026</t>
        </is>
      </c>
    </row>
    <row r="8">
      <c r="A8" s="4" t="inlineStr">
        <is>
          <t>Correo transaccional</t>
        </is>
      </c>
      <c r="B8" s="4" t="inlineStr">
        <is>
          <t>Resend</t>
        </is>
      </c>
      <c r="C8" s="85" t="inlineStr">
        <is>
          <t>https://resend.com/docs/knowledge-base/what-is-resend-pricing</t>
        </is>
      </c>
      <c r="D8" s="19" t="inlineStr">
        <is>
          <t>15/07/2026</t>
        </is>
      </c>
    </row>
    <row r="9">
      <c r="A9" s="4" t="inlineStr">
        <is>
          <t>Mensajeria utility</t>
        </is>
      </c>
      <c r="B9" s="4" t="inlineStr">
        <is>
          <t>WhatsApp Business</t>
        </is>
      </c>
      <c r="C9" s="85" t="inlineStr">
        <is>
          <t>https://whatsappbusiness.com/products/platform-pricing/</t>
        </is>
      </c>
      <c r="D9" s="19" t="inlineStr">
        <is>
          <t>15/07/2026</t>
        </is>
      </c>
    </row>
    <row r="10">
      <c r="A10" s="4" t="inlineStr">
        <is>
          <t>Tipo de cambio</t>
        </is>
      </c>
      <c r="B10" s="4" t="inlineStr">
        <is>
          <t>ECB</t>
        </is>
      </c>
      <c r="C10" s="85" t="inlineStr">
        <is>
          <t>https://www.ecb.europa.eu/stats/policy_and_exchange_rates/euro_reference_exchange_rates/html/index.en.html</t>
        </is>
      </c>
      <c r="D10" s="19" t="inlineStr">
        <is>
          <t>14/07/2026</t>
        </is>
      </c>
    </row>
    <row r="11">
      <c r="A11" s="4" t="inlineStr">
        <is>
          <t>Voz telefonica</t>
        </is>
      </c>
      <c r="B11" s="4" t="inlineStr">
        <is>
          <t>Retell</t>
        </is>
      </c>
      <c r="C11" s="85" t="inlineStr">
        <is>
          <t>https://www.retellai.com/pricing</t>
        </is>
      </c>
      <c r="D11" s="19" t="inlineStr">
        <is>
          <t>15/07/2026</t>
        </is>
      </c>
    </row>
    <row r="12">
      <c r="A12" s="4" t="inlineStr">
        <is>
          <t>Transcripcion</t>
        </is>
      </c>
      <c r="B12" s="4" t="inlineStr">
        <is>
          <t>Groq Speech-to-Text</t>
        </is>
      </c>
      <c r="C12" s="85" t="inlineStr">
        <is>
          <t>https://console.groq.com/docs/speech-to-text</t>
        </is>
      </c>
      <c r="D12" s="19" t="inlineStr">
        <is>
          <t>15/07/2026</t>
        </is>
      </c>
    </row>
    <row r="13">
      <c r="A13" s="4" t="inlineStr">
        <is>
          <t>GPU serverless</t>
        </is>
      </c>
      <c r="B13" s="4" t="inlineStr">
        <is>
          <t>Runpod</t>
        </is>
      </c>
      <c r="C13" s="85" t="inlineStr">
        <is>
          <t>https://www.runpod.io/product/serverless</t>
        </is>
      </c>
      <c r="D13" s="19" t="inlineStr">
        <is>
          <t>15/07/2026</t>
        </is>
      </c>
    </row>
    <row r="14">
      <c r="A14" s="4" t="inlineStr">
        <is>
          <t>Modelo abierto</t>
        </is>
      </c>
      <c r="B14" s="4" t="inlineStr">
        <is>
          <t>Qwen3</t>
        </is>
      </c>
      <c r="C14" s="85" t="inlineStr">
        <is>
          <t>https://github.com/QwenLM/Qwen3</t>
        </is>
      </c>
      <c r="D14" s="19" t="inlineStr">
        <is>
          <t>15/07/2026</t>
        </is>
      </c>
    </row>
    <row r="17">
      <c r="A17" s="11" t="inlineStr">
        <is>
          <t>Cautelas</t>
        </is>
      </c>
    </row>
    <row r="18">
      <c r="A18" s="22" t="inlineStr">
        <is>
          <t>La tarifa utility de WhatsApp en Espana usa ademas una rate card publicada por un tercero, porque la tabla oficial dinamica no expuso el valor durante la consulta. Las tarifas pueden cambiar y no siempre incluyen impuestos. El coste de la hoja Hipotesis_Externa no tiene fuente ni fecha conocidas.</t>
        </is>
      </c>
    </row>
    <row r="19"/>
    <row r="20"/>
    <row r="21"/>
  </sheetData>
  <mergeCells count="3">
    <mergeCell ref="A1:D1"/>
    <mergeCell ref="A18:D21"/>
    <mergeCell ref="A2:D2"/>
  </mergeCell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2026-08-19T08:09:16Z</dcterms:created>
  <dcterms:modified xsi:type="dcterms:W3CDTF">2026-08-19T08:09:17Z</dcterms:modified>
</cp:coreProperties>
</file>