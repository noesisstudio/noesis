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alculadora" sheetId="2" r:id="rId5"/>
    <sheet state="visible" name="Supuestos" sheetId="3" r:id="rId6"/>
    <sheet state="visible" name="Unit_Economics" sheetId="4" r:id="rId7"/>
    <sheet state="visible" name="Hipotesis_Externa" sheetId="5" r:id="rId8"/>
    <sheet state="visible" name="Comparador" sheetId="6" r:id="rId9"/>
    <sheet state="visible" name="Anual_vs_Mensual" sheetId="7" r:id="rId10"/>
    <sheet state="visible" name="Escala_Breakeven" sheetId="8" r:id="rId11"/>
    <sheet state="visible" name="Ads_Captacion" sheetId="9" r:id="rId12"/>
    <sheet state="visible" name="Escenarios" sheetId="10" r:id="rId13"/>
    <sheet state="visible" name="PyG_Proyeccion" sheetId="11" r:id="rId14"/>
    <sheet state="visible" name="Sensibilidad" sheetId="12" r:id="rId15"/>
    <sheet state="visible" name="Capacidad_Soporte" sheetId="13" r:id="rId16"/>
    <sheet state="visible" name="KPIs_Piloto" sheetId="14" r:id="rId17"/>
    <sheet state="visible" name="Opciones_IA" sheetId="15" r:id="rId18"/>
    <sheet state="visible" name="Datos_Pendientes" sheetId="16" r:id="rId19"/>
    <sheet state="visible" name="Fuentes" sheetId="17" r:id="rId20"/>
  </sheets>
  <definedNames/>
  <calcPr/>
  <extLst>
    <ext uri="GoogleSheetsCustomDataVersion2">
      <go:sheetsCustomData xmlns:go="http://customooxmlschemas.google.com/" r:id="rId21" roundtripDataChecksum="/3HHgmXe2xMUo+L2VROzwe9K8KzzMENCz8HNiMXCpaw="/>
    </ext>
  </extLst>
</workbook>
</file>

<file path=xl/sharedStrings.xml><?xml version="1.0" encoding="utf-8"?>
<sst xmlns="http://schemas.openxmlformats.org/spreadsheetml/2006/main" count="846" uniqueCount="566">
  <si>
    <t>Noesis — Modelo economico</t>
  </si>
  <si>
    <t>Supuestos</t>
  </si>
  <si>
    <t>Unit economics por plan</t>
  </si>
  <si>
    <t>Calculadora: escribe cuantos clientes tienes</t>
  </si>
  <si>
    <t>Cambia solo las tres celdas naranjas de abajo y todo el libro responde: ingresos, cada linea de coste, resultado mensual y cuanto falta para el equilibrio. Es la hoja para jugar; el resto explica de donde sale cada cifra.</t>
  </si>
  <si>
    <t>Modelo vivo: las celdas azules son entradas editables y el resto son formulas. Las cifras proceden del analisis interno fechado el 15/07/2026 con fuentes citadas en la hoja Fuentes. Lo que el repositorio no acredita esta en la hoja Datos_Pendientes y NO se ha estimado.</t>
  </si>
  <si>
    <t>Escenario base hibrido: cerebro interno resuelve el 60%; del resto, 80% Qwen y 20% Haiku. Columnas B-D = catalogo anterior (29/39/79). Columnas E-G = catalogo adoptado (29/49/99).</t>
  </si>
  <si>
    <t>Celdas azules = entradas editables. Cambiar aqui recalcula todo el libro. Cada driver lleva fecha y fuente; los marcados como Supuesto no estan verificados.</t>
  </si>
  <si>
    <t>Catalogo adoptado</t>
  </si>
  <si>
    <t>1 · Cuantos clientes de cada plan</t>
  </si>
  <si>
    <t>Supuestos por plan</t>
  </si>
  <si>
    <t>Metrica</t>
  </si>
  <si>
    <t>Plan</t>
  </si>
  <si>
    <t>Driver</t>
  </si>
  <si>
    <t>Concepto</t>
  </si>
  <si>
    <t>Clientes</t>
  </si>
  <si>
    <t>Autonomo</t>
  </si>
  <si>
    <t>Autonomo ant.</t>
  </si>
  <si>
    <t>Precio</t>
  </si>
  <si>
    <t>Negocio</t>
  </si>
  <si>
    <t>Negocio ant.</t>
  </si>
  <si>
    <t>Ingreso mensual</t>
  </si>
  <si>
    <t>Premium</t>
  </si>
  <si>
    <t>Unidad</t>
  </si>
  <si>
    <t>Ingreso anual</t>
  </si>
  <si>
    <t>Premium ant.</t>
  </si>
  <si>
    <t>Nota</t>
  </si>
  <si>
    <t>Autonomo adop.</t>
  </si>
  <si>
    <t>Precio mensual</t>
  </si>
  <si>
    <t>Fuente / criterio</t>
  </si>
  <si>
    <t>Negocio adop.</t>
  </si>
  <si>
    <t>Precio actual</t>
  </si>
  <si>
    <t>Premium adop.</t>
  </si>
  <si>
    <t>Precio neto</t>
  </si>
  <si>
    <t>€/mes + IVA</t>
  </si>
  <si>
    <t>Catalogo anterior</t>
  </si>
  <si>
    <t>Precio adoptado</t>
  </si>
  <si>
    <t>Recomendacion de unit economics</t>
  </si>
  <si>
    <t>Mix de clientes</t>
  </si>
  <si>
    <t>Catalogo adoptado tras el analisis</t>
  </si>
  <si>
    <t>Precio anual</t>
  </si>
  <si>
    <t>€/ano + IVA</t>
  </si>
  <si>
    <t>Cobra 11 meses, da acceso 12</t>
  </si>
  <si>
    <t>Mix de clientes supuesto</t>
  </si>
  <si>
    <t>%</t>
  </si>
  <si>
    <t>Supuesto de escala</t>
  </si>
  <si>
    <t>Creditos avanzados incluidos</t>
  </si>
  <si>
    <t>acciones/mes</t>
  </si>
  <si>
    <t>Catalogo actual</t>
  </si>
  <si>
    <t>Hipotesis de escala, a recalibrar</t>
  </si>
  <si>
    <t>Uso esperado del limite</t>
  </si>
  <si>
    <t>Resultado por plan (modelo Noesis)</t>
  </si>
  <si>
    <t>Supuesto conservador</t>
  </si>
  <si>
    <t>Resolucion por cerebro interno</t>
  </si>
  <si>
    <t>€/mes</t>
  </si>
  <si>
    <t>Stripe</t>
  </si>
  <si>
    <t>Objetivo tras piloto</t>
  </si>
  <si>
    <t>WhatsApp utility enviados</t>
  </si>
  <si>
    <t>COGS software</t>
  </si>
  <si>
    <t>mensajes/mes</t>
  </si>
  <si>
    <t>Supuesto operativo</t>
  </si>
  <si>
    <t>WhatsApp service recibidos</t>
  </si>
  <si>
    <t>Gratis hoy; sensibilidad futura</t>
  </si>
  <si>
    <t>Stripe, WhatsApp, IA, voz, almacenamiento</t>
  </si>
  <si>
    <t>Audio transcrito</t>
  </si>
  <si>
    <t>Margen bruto</t>
  </si>
  <si>
    <t>TOTAL</t>
  </si>
  <si>
    <t>min/mes</t>
  </si>
  <si>
    <t>Documentos procesados</t>
  </si>
  <si>
    <t>Sobre precio neto</t>
  </si>
  <si>
    <t>Contribucion</t>
  </si>
  <si>
    <t>docs/mes</t>
  </si>
  <si>
    <t>Documentos que escalan fuera</t>
  </si>
  <si>
    <t>Ya descuenta soporte, onboarding y fijo</t>
  </si>
  <si>
    <t>Margen de contribucion</t>
  </si>
  <si>
    <t>OCR local primero</t>
  </si>
  <si>
    <t>Ingreso sin IVA</t>
  </si>
  <si>
    <t>Almacenamiento</t>
  </si>
  <si>
    <t>2 · Costes variables: lo que cuesta servirlos</t>
  </si>
  <si>
    <t>WhatsApp utility</t>
  </si>
  <si>
    <t>Sin CAC</t>
  </si>
  <si>
    <t>GB/cuenta</t>
  </si>
  <si>
    <t>Voz telefonica incluida</t>
  </si>
  <si>
    <t>Punto de equilibrio</t>
  </si>
  <si>
    <t>Total</t>
  </si>
  <si>
    <t>€ por cliente</t>
  </si>
  <si>
    <t>Comisiones de Stripe</t>
  </si>
  <si>
    <t>Promesa Premium actual</t>
  </si>
  <si>
    <t>Soporte humano</t>
  </si>
  <si>
    <t>Valor</t>
  </si>
  <si>
    <t>min/cuenta/mes</t>
  </si>
  <si>
    <t>Supuesto de servicio</t>
  </si>
  <si>
    <t>Contribucion media ponderada</t>
  </si>
  <si>
    <t>Onboarding inicial</t>
  </si>
  <si>
    <t>min/cuenta</t>
  </si>
  <si>
    <t>Amortizado en 12 meses</t>
  </si>
  <si>
    <t>IA avanzada</t>
  </si>
  <si>
    <t>Supuestos globales</t>
  </si>
  <si>
    <t>€/cuenta/mes</t>
  </si>
  <si>
    <t>Segun el mix de la hoja Supuestos</t>
  </si>
  <si>
    <t>Opex fijo mensual</t>
  </si>
  <si>
    <t>WhatsApp (plantillas)</t>
  </si>
  <si>
    <t>Fecha</t>
  </si>
  <si>
    <t>Fuente</t>
  </si>
  <si>
    <t>HIPOTESIS: 3.500 €. Sustituir por el gasto real</t>
  </si>
  <si>
    <t>Cuentas para equilibrio</t>
  </si>
  <si>
    <t>EUR por USD</t>
  </si>
  <si>
    <t>EUR/USD</t>
  </si>
  <si>
    <t>14/07/2026</t>
  </si>
  <si>
    <t>ECB</t>
  </si>
  <si>
    <t>1 EUR = 1,1405 USD</t>
  </si>
  <si>
    <t>Stripe Payments</t>
  </si>
  <si>
    <t>cuentas</t>
  </si>
  <si>
    <t>% ingreso</t>
  </si>
  <si>
    <t>Con el opex real este numero cambia</t>
  </si>
  <si>
    <t>15/07/2026</t>
  </si>
  <si>
    <t>Ingreso mensual en equilibrio</t>
  </si>
  <si>
    <t>Tarjeta EEE estandar</t>
  </si>
  <si>
    <t>Stripe Billing</t>
  </si>
  <si>
    <t>Pago por uso</t>
  </si>
  <si>
    <t>Stripe fijo</t>
  </si>
  <si>
    <t>Sin IVA</t>
  </si>
  <si>
    <t>€/transaccion</t>
  </si>
  <si>
    <t>Una renovacion mensual</t>
  </si>
  <si>
    <t>WhatsApp utility Espana</t>
  </si>
  <si>
    <t>Aviso</t>
  </si>
  <si>
    <t>Transcripcion de voz</t>
  </si>
  <si>
    <t>€/mensaje</t>
  </si>
  <si>
    <t>Meta / rate card</t>
  </si>
  <si>
    <t>Ninguna cifra de este libro es un resultado observado. Son supuestos de planificacion fechados que el piloto debe recalibrar. El opex fijo, los sueldos, el reparto societario y el CAC no constan en el repositorio: estan en Datos_Pendientes sin rellenar.</t>
  </si>
  <si>
    <t>Mensaje entregado</t>
  </si>
  <si>
    <t>WhatsApp service futuro</t>
  </si>
  <si>
    <t>Sensibilidad</t>
  </si>
  <si>
    <t>Actualmente 0 €</t>
  </si>
  <si>
    <t>Haiku 4.5 por interaccion</t>
  </si>
  <si>
    <t>Extraccion de documentos</t>
  </si>
  <si>
    <t>USD/interaccion</t>
  </si>
  <si>
    <t>Anthropic</t>
  </si>
  <si>
    <t>8k input + 1,2k output</t>
  </si>
  <si>
    <t>Transcripcion</t>
  </si>
  <si>
    <t>Qwen3 32B por interaccion</t>
  </si>
  <si>
    <t>Groq</t>
  </si>
  <si>
    <t>Mismo supuesto de tokens</t>
  </si>
  <si>
    <t>Peso Qwen en fallback</t>
  </si>
  <si>
    <t>Arquitectura hibrida</t>
  </si>
  <si>
    <t>Resto Haiku</t>
  </si>
  <si>
    <t>Whisper Turbo</t>
  </si>
  <si>
    <t>USD/hora</t>
  </si>
  <si>
    <t>Solo transcripcion</t>
  </si>
  <si>
    <t>Extraccion externa documento</t>
  </si>
  <si>
    <t>€/documento</t>
  </si>
  <si>
    <t>Supuesto</t>
  </si>
  <si>
    <t>Voz telefonica (Premium)</t>
  </si>
  <si>
    <t>Validar con corpus real</t>
  </si>
  <si>
    <t>Object storage</t>
  </si>
  <si>
    <t>USD/GB-mes</t>
  </si>
  <si>
    <t>Railway</t>
  </si>
  <si>
    <t>Sin egress</t>
  </si>
  <si>
    <t>Extraccion externa</t>
  </si>
  <si>
    <t>Voz agente</t>
  </si>
  <si>
    <t>USD/min</t>
  </si>
  <si>
    <t>Retell</t>
  </si>
  <si>
    <t>Ejemplo de calculadora</t>
  </si>
  <si>
    <t>Numero telefonico voz</t>
  </si>
  <si>
    <t>USD/mes</t>
  </si>
  <si>
    <t>TOTAL COSTES VARIABLES</t>
  </si>
  <si>
    <t>Solo plan Premium</t>
  </si>
  <si>
    <t>Coste hora soporte</t>
  </si>
  <si>
    <t>€/hora</t>
  </si>
  <si>
    <t>Coste empresa cargado</t>
  </si>
  <si>
    <t>Plataforma fija</t>
  </si>
  <si>
    <t>App, email y backups minimos</t>
  </si>
  <si>
    <t>Opex fijo para break-even</t>
  </si>
  <si>
    <t>SUPUESTO</t>
  </si>
  <si>
    <t>3 · Coste de atender a esos clientes</t>
  </si>
  <si>
    <t>Founder, legal, herramientas, reserva. Sustituir por el real</t>
  </si>
  <si>
    <t>CAC inicial</t>
  </si>
  <si>
    <t>€/cliente</t>
  </si>
  <si>
    <t>Validar durante piloto</t>
  </si>
  <si>
    <t>IVA Espana</t>
  </si>
  <si>
    <t>AEAT</t>
  </si>
  <si>
    <t>El precio se comunica + IVA</t>
  </si>
  <si>
    <t>Cuentas para repartir fijo</t>
  </si>
  <si>
    <t>Escenario base</t>
  </si>
  <si>
    <t>Solo unit economics por plan</t>
  </si>
  <si>
    <t>Voz Premium</t>
  </si>
  <si>
    <t>Onboarding amortizado</t>
  </si>
  <si>
    <t>TOTAL SERVICIO</t>
  </si>
  <si>
    <t>4 · Costes fijos: no dependen de cuantos clientes tengas</t>
  </si>
  <si>
    <t>Hipotesis de coste del documento externo</t>
  </si>
  <si>
    <t>Importe mensual</t>
  </si>
  <si>
    <t>Reproduccion literal de la tabla recibida. Su propio encabezado la titula 'Calculo (Hipotesis)': no lleva fuente ni fecha, y aplica el mismo coste a todos los planes independientemente del uso.</t>
  </si>
  <si>
    <t>Anual</t>
  </si>
  <si>
    <t>Tabla recibida</t>
  </si>
  <si>
    <t>Margen bruto software</t>
  </si>
  <si>
    <t>Plataforma (app, correo, copias)</t>
  </si>
  <si>
    <t>Concepto de gasto</t>
  </si>
  <si>
    <t>Calculo (hipotesis)</t>
  </si>
  <si>
    <t>Coste mensual/usuario</t>
  </si>
  <si>
    <t>Contraste con el modelo Noesis</t>
  </si>
  <si>
    <t>Escala poco con el numero de cuentas</t>
  </si>
  <si>
    <t>API de Meta (WhatsApp)</t>
  </si>
  <si>
    <t>150 mensajes enviados x 0,0166 €</t>
  </si>
  <si>
    <t>Opex fijo (founder, legal, herramientas)</t>
  </si>
  <si>
    <t>SUPUESTO de 3.500 €. Sustituir por el real de Datos_Pendientes</t>
  </si>
  <si>
    <t>Publicidad</t>
  </si>
  <si>
    <t>El modelo Noesis usa 30/80/200 mensajes segun plan, no 150 fijos</t>
  </si>
  <si>
    <t>Inteligencia Artificial (LLM)</t>
  </si>
  <si>
    <t>150 procesamientos x ~0,02 €</t>
  </si>
  <si>
    <t>El modelo Noesis estima 0,05/0,22/0,69 €: el cerebro interno resuelve el 60%</t>
  </si>
  <si>
    <t>Servidor y base de datos</t>
  </si>
  <si>
    <t>Prorrateo basico por usuario</t>
  </si>
  <si>
    <t>Lo que escribas en la hoja Ads_Captacion</t>
  </si>
  <si>
    <t>TOTAL FIJOS</t>
  </si>
  <si>
    <t>El modelo Noesis reparte 65 € de plataforma entre las cuentas activas</t>
  </si>
  <si>
    <t>COSTE TOTAL VARIABLE</t>
  </si>
  <si>
    <t>Mensual por usuario</t>
  </si>
  <si>
    <t>5 · Resultado</t>
  </si>
  <si>
    <t>Margen resultante con esta hipotesis</t>
  </si>
  <si>
    <t>Mensual</t>
  </si>
  <si>
    <t>Coste variable</t>
  </si>
  <si>
    <t>Contribucion bruta</t>
  </si>
  <si>
    <t>Margen</t>
  </si>
  <si>
    <t>Ingreso</t>
  </si>
  <si>
    <t>(-) Costes variables</t>
  </si>
  <si>
    <t>Escalan con cada cliente nuevo</t>
  </si>
  <si>
    <t>No descuenta soporte, onboarding ni fijo: no es comparable con la contribucion de Unit_Economics</t>
  </si>
  <si>
    <t>Lo que queda para pagar estructura</t>
  </si>
  <si>
    <t>Fijo asignado</t>
  </si>
  <si>
    <t>(-) Coste de servicio</t>
  </si>
  <si>
    <t>Soporte y onboarding</t>
  </si>
  <si>
    <t>(-) Costes fijos</t>
  </si>
  <si>
    <t>Plataforma, opex y publicidad</t>
  </si>
  <si>
    <t>Lo que gana o pierde la empresa cada mes</t>
  </si>
  <si>
    <t>Margen sobre ingreso</t>
  </si>
  <si>
    <t>6 · Cuanto falta para el equilibrio</t>
  </si>
  <si>
    <t>Comparador de escenarios de coste</t>
  </si>
  <si>
    <t>Que pasa con el margen si el coste real por usuario resulta ser el del documento externo en lugar del estimado internamente. Solo compara COGS variable, para que la base sea la misma.</t>
  </si>
  <si>
    <t>COGS software por plan</t>
  </si>
  <si>
    <t>Contribucion media por cliente</t>
  </si>
  <si>
    <t>Escenario</t>
  </si>
  <si>
    <t>Ingreso si el precio incluyera IVA</t>
  </si>
  <si>
    <t>Modelo Noesis (con fuentes)</t>
  </si>
  <si>
    <t>Con la mezcla exacta de clientes que has escrito</t>
  </si>
  <si>
    <t>Clientes actuales</t>
  </si>
  <si>
    <t>clientes</t>
  </si>
  <si>
    <t>La suma de las tres celdas naranjas</t>
  </si>
  <si>
    <t>Clientes para equilibrio</t>
  </si>
  <si>
    <t>Contribucion si incluyera IVA</t>
  </si>
  <si>
    <t>Manteniendo esa misma mezcla de planes</t>
  </si>
  <si>
    <t>Faltan</t>
  </si>
  <si>
    <t>Hipotesis externa</t>
  </si>
  <si>
    <t>IA: 100% de creditos con Haiku</t>
  </si>
  <si>
    <t>Cero significa que ya estas por encima</t>
  </si>
  <si>
    <t>Sobran</t>
  </si>
  <si>
    <t>Clientes por encima del equilibrio</t>
  </si>
  <si>
    <t>Veredicto</t>
  </si>
  <si>
    <t>Diferencia</t>
  </si>
  <si>
    <t>Se recalcula solo</t>
  </si>
  <si>
    <t>Prueba a escribir 66, 42 y 12: es el reparto del equilibrio con el mix previsto. Despues cambia una sola cifra y mira que pasa con el resultado. Diez clientes Premium mas mueven mucho mas la aguja que diez Autonomos, y esa es toda la conversacion comercial resumida en una celda.</t>
  </si>
  <si>
    <t>Multiplicador</t>
  </si>
  <si>
    <t>Margen bruto en peor caso IA</t>
  </si>
  <si>
    <t>Margen bruto comparado</t>
  </si>
  <si>
    <t>Modelo Noesis</t>
  </si>
  <si>
    <t>Tarifa anual frente a mensual</t>
  </si>
  <si>
    <t>El anual cobra 11 meses y da acceso 12: un descuento real del 8,3%. Se eligio este nivel, y no dos meses gratis, para proteger el margen de Premium mientras el piloto no ha medido voz y soporte reales.</t>
  </si>
  <si>
    <t>Cobro anual</t>
  </si>
  <si>
    <t>Equivalente/mes</t>
  </si>
  <si>
    <t>Ahorro/ano</t>
  </si>
  <si>
    <t>Contribucion mensual</t>
  </si>
  <si>
    <t>Margen contribucion</t>
  </si>
  <si>
    <t>La contribucion anual es una estimacion del analisis del 15/07/2026 con el mismo uso, soporte y onboarding del escenario base y una sola comision Stripe prorrateada. El anual mejora caja y reduce comisiones, pero obliga a reservar capacidad de servicio durante doce meses.</t>
  </si>
  <si>
    <t>Puntos perdidos</t>
  </si>
  <si>
    <t>Como leerlo</t>
  </si>
  <si>
    <t>La hipotesis externa aplica un coste plano por usuario, asi que penaliza mucho al plan barato y apenas al caro, mientras que el modelo Noesis escala el coste con el uso incluido en cada plan. Si el piloto midiera un consumo parecido al de la hipotesis, el plan Autonomo seria el primero en sufrir. Es el escenario que conviene vigilar durante los primeros 30 dias.</t>
  </si>
  <si>
    <t>Escala y punto de equilibrio</t>
  </si>
  <si>
    <t>Ingreso y resultado segun numero de cuentas, con el mix y el opex de la hoja Supuestos. El opex de 3.500 € es una hipotesis de planificacion, NO el gasto contable actual.</t>
  </si>
  <si>
    <t>Cuentas</t>
  </si>
  <si>
    <t>Contribucion total</t>
  </si>
  <si>
    <t>Opex fijo</t>
  </si>
  <si>
    <t>Resultado</t>
  </si>
  <si>
    <t>Publicidad y coste de captacion</t>
  </si>
  <si>
    <t>Gasto variable: la publicidad no escala con los clientes que ya tienes, sino con los que quieres captar. Las celdas naranjas estan VACIAS a proposito: ninguna cifra de embudo consta en el repositorio. En cuanto escribas presupuesto y conversiones, el resto se calcula solo.</t>
  </si>
  <si>
    <t>Entradas de campana</t>
  </si>
  <si>
    <t>Presupuesto mensual de ads</t>
  </si>
  <si>
    <t>El gasto variable principal. Sin el, el resto no calcula</t>
  </si>
  <si>
    <t>Coste por clic</t>
  </si>
  <si>
    <t>€/clic</t>
  </si>
  <si>
    <t>Meta Ads y Google Ads dan medias distintas: usa la tuya</t>
  </si>
  <si>
    <t>Conversion clic -&gt; lead</t>
  </si>
  <si>
    <t>Visitas que dejan datos en Solicitar acceso</t>
  </si>
  <si>
    <t>Conversion lead -&gt; prueba</t>
  </si>
  <si>
    <t>Leads que activan la prueba de 14 dias</t>
  </si>
  <si>
    <t>Conversion prueba -&gt; pago</t>
  </si>
  <si>
    <t>El dato que mas mueve el CAC</t>
  </si>
  <si>
    <t>Churn mensual</t>
  </si>
  <si>
    <t>Bajas sobre cartera. Necesario para el LTV</t>
  </si>
  <si>
    <t>Altas que vienen de ads</t>
  </si>
  <si>
    <t>El resto llega por boca a boca y no cuesta ads</t>
  </si>
  <si>
    <t>Embudo resultante</t>
  </si>
  <si>
    <t>Formula</t>
  </si>
  <si>
    <t>Clics al mes</t>
  </si>
  <si>
    <t>clics</t>
  </si>
  <si>
    <t>Escenarios de planificacion</t>
  </si>
  <si>
    <t>Presupuesto / coste por clic</t>
  </si>
  <si>
    <t>Leads al mes</t>
  </si>
  <si>
    <t>Tres futuros con los mismos costes unitarios y distinta velocidad comercial. El selector de la celda B5 alimenta la hoja PyG_Proyeccion. Las celdas naranjas estan vacias: la velocidad comercial es una decision del founder, no un dato del repositorio.</t>
  </si>
  <si>
    <t>Escenario activo</t>
  </si>
  <si>
    <t>leads</t>
  </si>
  <si>
    <t>Clics x conversion a lead</t>
  </si>
  <si>
    <t>Base</t>
  </si>
  <si>
    <t>Pruebas iniciadas</t>
  </si>
  <si>
    <t>Elige de la lista desplegable</t>
  </si>
  <si>
    <t>pruebas</t>
  </si>
  <si>
    <t>Leads x conversion a prueba</t>
  </si>
  <si>
    <t>Palancas por escenario</t>
  </si>
  <si>
    <t>Clientes nuevos de ads</t>
  </si>
  <si>
    <t>clientes/mes</t>
  </si>
  <si>
    <t>Palanca</t>
  </si>
  <si>
    <t>Pruebas x conversion a pago</t>
  </si>
  <si>
    <t>Altas totales estimadas</t>
  </si>
  <si>
    <t>Pesimista</t>
  </si>
  <si>
    <t>Optimista</t>
  </si>
  <si>
    <t>Altas netas mes 1</t>
  </si>
  <si>
    <t>Incluye las que no vienen de ads</t>
  </si>
  <si>
    <t>CAC real</t>
  </si>
  <si>
    <t>Base = el piloto de 3-5 comprometido en Tareas-vivas</t>
  </si>
  <si>
    <t>Crecimiento mensual de altas</t>
  </si>
  <si>
    <t>Presupuesto / clientes captados por ads</t>
  </si>
  <si>
    <t>PENDIENTE: depende del presupuesto de ads y del boca a boca</t>
  </si>
  <si>
    <t>CAC supuesto en el modelo</t>
  </si>
  <si>
    <t>PENDIENTE: solo se sabra tras dos cierres del piloto</t>
  </si>
  <si>
    <t>Mix Autonomo</t>
  </si>
  <si>
    <t>150 € sin validar, para contraste</t>
  </si>
  <si>
    <t>Desviacion frente al supuesto</t>
  </si>
  <si>
    <t>Base = mix del analisis</t>
  </si>
  <si>
    <t>Mix Negocio</t>
  </si>
  <si>
    <t>Positivo = captar sale mas caro de lo previsto</t>
  </si>
  <si>
    <t>Salud de la captacion</t>
  </si>
  <si>
    <t>Mix Premium</t>
  </si>
  <si>
    <t>Referencia habitual</t>
  </si>
  <si>
    <t>SUPUESTO hasta rellenar Datos_Pendientes</t>
  </si>
  <si>
    <t>Presupuesto de ads</t>
  </si>
  <si>
    <t>PENDIENTE: enlaza con la hoja Ads_Captacion</t>
  </si>
  <si>
    <t>Valores activos (los que usa la proyeccion)</t>
  </si>
  <si>
    <t>La que ya calcula el modelo</t>
  </si>
  <si>
    <t>Meses para recuperar el CAC</t>
  </si>
  <si>
    <t>Valor activo</t>
  </si>
  <si>
    <t>meses</t>
  </si>
  <si>
    <t>Por debajo de 12 se considera sano</t>
  </si>
  <si>
    <t>Vida media del cliente</t>
  </si>
  <si>
    <t>1 / churn mensual</t>
  </si>
  <si>
    <t>LTV (contribucion x vida)</t>
  </si>
  <si>
    <t>€</t>
  </si>
  <si>
    <t>Sin descuento financiero</t>
  </si>
  <si>
    <t>LTV / CAC</t>
  </si>
  <si>
    <t>veces</t>
  </si>
  <si>
    <t>Referencia SaaS: 3x o mas</t>
  </si>
  <si>
    <t>Se calcula solo al rellenar las entradas</t>
  </si>
  <si>
    <t>Impacto de los ads en el punto de equilibrio</t>
  </si>
  <si>
    <t>Sin ads</t>
  </si>
  <si>
    <t>Con ads</t>
  </si>
  <si>
    <t>Coste fijo mensual</t>
  </si>
  <si>
    <t>El presupuesto de ads se suma al opex mientras dure la campana</t>
  </si>
  <si>
    <t>Con la contribucion media ponderada</t>
  </si>
  <si>
    <t>Proyeccion a 24 meses</t>
  </si>
  <si>
    <t>Clientes adicionales que exige el ads</t>
  </si>
  <si>
    <t>Cuenta de resultados mensual y caja acumulada, gobernada por el escenario activo de la hoja Escenarios. Mientras el crecimiento y el churn esten vacios, la cartera se queda plana: es lo honesto, no un fallo.</t>
  </si>
  <si>
    <t>Los que la campana debe traer solo para pagarse</t>
  </si>
  <si>
    <t>Mes</t>
  </si>
  <si>
    <t>Meses para conseguirlos</t>
  </si>
  <si>
    <t>Cartera inicio</t>
  </si>
  <si>
    <t>Altas</t>
  </si>
  <si>
    <t>Bajas</t>
  </si>
  <si>
    <t>Al ritmo de captacion calculado arriba</t>
  </si>
  <si>
    <t>Por que los ads van en su propia hoja</t>
  </si>
  <si>
    <t>Cartera fin</t>
  </si>
  <si>
    <t>El resto del libro mide lo que cuesta SERVIR a un cliente que ya tienes. La publicidad mide lo que cuesta CONSEGUIRLO, y se comporta al reves: si cortas la campana manana, el gasto desaparece pero los clientes captados siguen pagando. Por eso no se mezcla con el COGS ni con el margen de contribucion: se trata como una inversion con un plazo de recuperacion, que es la fila 'Meses para recuperar el CAC'. Si ese plazo supera la vida media del cliente, la campana destruye valor aunque el margen por cuenta sea excelente.</t>
  </si>
  <si>
    <t>MRR</t>
  </si>
  <si>
    <t>COGS</t>
  </si>
  <si>
    <t>Ads</t>
  </si>
  <si>
    <t>Caja acumulada</t>
  </si>
  <si>
    <t>ARR</t>
  </si>
  <si>
    <t>Punto de equilibrio exacto</t>
  </si>
  <si>
    <t>Cuentas necesarias</t>
  </si>
  <si>
    <t>Con el catalogo adoptado y el mix 55/35/10. El analisis del 15/07/2026 lo situo en unas 120 cuentas.</t>
  </si>
  <si>
    <t>Cuantos clientes de cada plan hacen falta</t>
  </si>
  <si>
    <t>Mix</t>
  </si>
  <si>
    <t>Sensibilidad del punto de equilibrio</t>
  </si>
  <si>
    <t>Cuantas cuentas hacen falta segun el opex real y la contribucion media. Sirve para responder 'si me equivoco en el gasto fijo, cuanto me duele'. La fila y la columna gris son entradas.</t>
  </si>
  <si>
    <t>Cuentas necesarias para equilibrio</t>
  </si>
  <si>
    <t>Opex \ Contribucion</t>
  </si>
  <si>
    <t>Capacidad de soporte y cuando contratar</t>
  </si>
  <si>
    <t>El soporte es el coste que primero rompe el margen al crecer. Traduce cuentas en horas de persona y avisa del punto en el que una sola persona ya no llega.</t>
  </si>
  <si>
    <t>Parametros</t>
  </si>
  <si>
    <t>Y si toda la cartera fuera de un solo plan</t>
  </si>
  <si>
    <t>Horas utiles por persona y mes</t>
  </si>
  <si>
    <t>Jornada completa descontando festivos y tareas internas</t>
  </si>
  <si>
    <t>Minutos de soporte Autonomo</t>
  </si>
  <si>
    <t>Contribucion/cliente</t>
  </si>
  <si>
    <t>Clientes necesarios</t>
  </si>
  <si>
    <t>De la hoja Supuestos</t>
  </si>
  <si>
    <t>Minutos de soporte Negocio</t>
  </si>
  <si>
    <t>Minutos de soporte Premium</t>
  </si>
  <si>
    <t>Carga segun tamano de cartera</t>
  </si>
  <si>
    <t>Minutos/mes</t>
  </si>
  <si>
    <t>Horas/mes</t>
  </si>
  <si>
    <t>Personas necesarias</t>
  </si>
  <si>
    <t>Coste soporte</t>
  </si>
  <si>
    <t>% sobre MRR</t>
  </si>
  <si>
    <t>Situacion</t>
  </si>
  <si>
    <t>Leer las dos tablas juntas: la primera reparte el equilibrio segun el mix que esperas; la segunda dice cuantos clientes harian falta si solo vendieras un plan. La distancia entre ambas cifras es el valor real de vender el plan caro, y es el argumento para decidir a quien dedicar el esfuerzo comercial.</t>
  </si>
  <si>
    <t>La columna de 29,36 € es la contribucion media ponderada que calcula el modelo con el mix 55/35/10. Leer la fila del opex real: cada 500 € de gasto fijo de mas son unas 17 cuentas adicionales que hay que vender solo para empatar.</t>
  </si>
  <si>
    <t>KPIs que debe responder el piloto</t>
  </si>
  <si>
    <t>Los que ya estan comprometidos en Tareas-vivas y en Unit-economics. La columna Observado se rellena durante los dos cierres semanales del piloto con 3-5 autonomos.</t>
  </si>
  <si>
    <t>Indicador</t>
  </si>
  <si>
    <t>Objetivo</t>
  </si>
  <si>
    <t>Observado</t>
  </si>
  <si>
    <t>Fuente del dato</t>
  </si>
  <si>
    <t>El salto de 'lo lleva el founder' a 'una persona entera' es el momento mas peligroso: el coste aparece de golpe y el ingreso crece poco a poco. Conviene tenerlo cubierto en caja antes de llegar, no cuando ya ha llegado.</t>
  </si>
  <si>
    <t>Por que importa</t>
  </si>
  <si>
    <t>Logs de IA por negocio</t>
  </si>
  <si>
    <t>Si baja del 40% el coste de IA se dispara</t>
  </si>
  <si>
    <t>Activacion: alta hasta primer cobro</t>
  </si>
  <si>
    <t>dias</t>
  </si>
  <si>
    <t>Eventos de producto</t>
  </si>
  <si>
    <t>Mide si el producto engancha antes de que caduque la prueba</t>
  </si>
  <si>
    <t>Trabajos cerrados sin facturar</t>
  </si>
  <si>
    <t>n/mes</t>
  </si>
  <si>
    <t>Panel de trabajos</t>
  </si>
  <si>
    <t>Es el dinero que Noesis rescata: el argumento de venta</t>
  </si>
  <si>
    <t>Cobros recuperados</t>
  </si>
  <si>
    <t>Recordatorios y portal</t>
  </si>
  <si>
    <t>Convierte la suscripcion en inversion con retorno</t>
  </si>
  <si>
    <t>Tiempo ahorrado declarado</t>
  </si>
  <si>
    <t>Coste de IA por opcion</t>
  </si>
  <si>
    <t>h/semana</t>
  </si>
  <si>
    <t>Entrevista de cierre</t>
  </si>
  <si>
    <t>El testimonio que sostiene el precio</t>
  </si>
  <si>
    <t>Con 8.000 tokens de entrada y 1.200 de salida por interaccion avanzada. Sirve para decidir cuando compensa alojar un modelo propio en lugar de pagar por uso.</t>
  </si>
  <si>
    <t>Minutos de soporte por cuenta</t>
  </si>
  <si>
    <t>Opcion</t>
  </si>
  <si>
    <t>Coste/interaccion</t>
  </si>
  <si>
    <t>75/mes</t>
  </si>
  <si>
    <t>Registro de soporte</t>
  </si>
  <si>
    <t>300/mes</t>
  </si>
  <si>
    <t>Autonomo: el supuesto es 12 min. Es la partida que rompe el margen</t>
  </si>
  <si>
    <t>1.500/mes</t>
  </si>
  <si>
    <t>Minutos de voz consumidos (Premium)</t>
  </si>
  <si>
    <t>Cerebro determinista Noesis</t>
  </si>
  <si>
    <t>Adaptador de voz</t>
  </si>
  <si>
    <t>Si nadie los usa, sacarlos del plan y venderlos como add-on</t>
  </si>
  <si>
    <t>Correcciones sobre lo que propone Noesis</t>
  </si>
  <si>
    <t>Codigo propio: sin coste por token</t>
  </si>
  <si>
    <t>Cloudflare Qwen3 30B A3B</t>
  </si>
  <si>
    <t>Eventos de correccion</t>
  </si>
  <si>
    <t>Mide la confianza real en el asistente</t>
  </si>
  <si>
    <t>Coste por cuenta observado</t>
  </si>
  <si>
    <t>Costes por negocio</t>
  </si>
  <si>
    <t>Contrasta con el COGS estimado del modelo</t>
  </si>
  <si>
    <t>Proveedor compatible barato</t>
  </si>
  <si>
    <t>Retencion a 60 dias</t>
  </si>
  <si>
    <t>Groq Qwen3 32B</t>
  </si>
  <si>
    <t>Suscripciones</t>
  </si>
  <si>
    <t>Sin esto no hay LTV defendible</t>
  </si>
  <si>
    <t>CAC por canal</t>
  </si>
  <si>
    <t>Latencia baja</t>
  </si>
  <si>
    <t>Anthropic Haiku 4.5</t>
  </si>
  <si>
    <t>Ads_Captacion</t>
  </si>
  <si>
    <t>El supuesto de 150 € esta sin validar</t>
  </si>
  <si>
    <t>Respaldo de calidad</t>
  </si>
  <si>
    <t>Cuando compensa alojar un modelo propio</t>
  </si>
  <si>
    <t>GPU 16 GB a 0,58 USD/h, 730 h/mes</t>
  </si>
  <si>
    <t>423,40 USD (~371 € al cambio usado)</t>
  </si>
  <si>
    <t>Cruce frente a Haiku 4.5</t>
  </si>
  <si>
    <t>~30.243 interacciones/mes</t>
  </si>
  <si>
    <t>Cruce frente a Groq Qwen3</t>
  </si>
  <si>
    <t>~139.828 interacciones/mes</t>
  </si>
  <si>
    <t>Conclusion</t>
  </si>
  <si>
    <t>Por debajo de ese volumen, cerebro interno + pago por uso es mas barato y exige menos operacion</t>
  </si>
  <si>
    <t>No existe un servidor publico gratuito adecuado como nucleo de produccion: los tiers gratis pueden cambiar, limitar concurrencia, cortar solicitudes y tratar datos fuera de Noesis. El modelo open source evita licencia por token, pero no elimina computo, seguridad ni mantenimiento.</t>
  </si>
  <si>
    <t>Datos que faltan — rellenar antes de usar este modelo</t>
  </si>
  <si>
    <t>Estas cifras NO constan en el repositorio y NO se han estimado. Mientras esten vacias, el modelo es un escenario de planificacion y no un reflejo de la empresa. Rellenar la columna Valor real.</t>
  </si>
  <si>
    <t>Valor real</t>
  </si>
  <si>
    <t>Quien lo tiene</t>
  </si>
  <si>
    <t>Por que hace falta</t>
  </si>
  <si>
    <t>Forma juridica y NIF</t>
  </si>
  <si>
    <t>texto</t>
  </si>
  <si>
    <t>Founder</t>
  </si>
  <si>
    <t>Determina IRPF/IS, cuota de autonomos y la verificacion de Meta</t>
  </si>
  <si>
    <t>Reparto societario entre socios</t>
  </si>
  <si>
    <t>Founder y socio</t>
  </si>
  <si>
    <t>Sin el no se puede repartir resultado ni valorar</t>
  </si>
  <si>
    <t>Sueldo o retirada mensual founder</t>
  </si>
  <si>
    <t>Es la mayor partida del opex real; ahora es hipotesis</t>
  </si>
  <si>
    <t>Sueldo o retirada mensual socio</t>
  </si>
  <si>
    <t>Socio</t>
  </si>
  <si>
    <t>Idem</t>
  </si>
  <si>
    <t>Cuota de autonomos por socio</t>
  </si>
  <si>
    <t>Gestoria</t>
  </si>
  <si>
    <t>Coste fijo mensual ineludible</t>
  </si>
  <si>
    <t>Gestoria / asesoria</t>
  </si>
  <si>
    <t>Fijo recurrente</t>
  </si>
  <si>
    <t>Factura real de Railway</t>
  </si>
  <si>
    <t>Sustituye el prorrateo de plataforma de 65 €</t>
  </si>
  <si>
    <t>Dominio y correo</t>
  </si>
  <si>
    <t>€/ano</t>
  </si>
  <si>
    <t>Fijo menor pero real</t>
  </si>
  <si>
    <t>Herramientas y suscripciones</t>
  </si>
  <si>
    <t>IDE, diseno, analitica, almacenamiento</t>
  </si>
  <si>
    <t>Seguro de responsabilidad civil</t>
  </si>
  <si>
    <t>Habitual antes de operar con datos de terceros</t>
  </si>
  <si>
    <t>Capital aportado a fecha de hoy</t>
  </si>
  <si>
    <t>El vault cita ~4.000 € iniciales; confirmar</t>
  </si>
  <si>
    <t>Ingresos facturados hasta hoy</t>
  </si>
  <si>
    <t>Si es 0, el modelo es prospectivo y debe decirlo</t>
  </si>
  <si>
    <t>Clientes de pago actuales</t>
  </si>
  <si>
    <t>n</t>
  </si>
  <si>
    <t>Base para cualquier proyeccion</t>
  </si>
  <si>
    <t>CAC observado por canal</t>
  </si>
  <si>
    <t>Fuentes y cautelas</t>
  </si>
  <si>
    <t>Piloto</t>
  </si>
  <si>
    <t>Tarifas consultadas el 15/07/2026. Pueden haber cambiado: verificar antes de tomar una decision de precio o de proveedor.</t>
  </si>
  <si>
    <t>El 150 € del modelo es un supuesto sin validar</t>
  </si>
  <si>
    <t>Churn mensual observado</t>
  </si>
  <si>
    <t>Proveedor</t>
  </si>
  <si>
    <t>Sin el no hay LTV defendible</t>
  </si>
  <si>
    <t>URL</t>
  </si>
  <si>
    <t>Presupuesto de marketing</t>
  </si>
  <si>
    <t>Consultado</t>
  </si>
  <si>
    <t>Comisiones de pago</t>
  </si>
  <si>
    <t>Entra en el opex y condiciona el crecimiento</t>
  </si>
  <si>
    <t>Stripe Espana</t>
  </si>
  <si>
    <t>https://stripe.com/es/pricing</t>
  </si>
  <si>
    <t>Coste de modelo de respaldo</t>
  </si>
  <si>
    <t>Anthropic Haiku</t>
  </si>
  <si>
    <t>https://www.anthropic.com/claude/haiku</t>
  </si>
  <si>
    <t>Plataforma y almacenamiento</t>
  </si>
  <si>
    <t>https://docs.railway.com/pricing</t>
  </si>
  <si>
    <t>Correo transaccional</t>
  </si>
  <si>
    <t>Resend</t>
  </si>
  <si>
    <t>https://resend.com/docs/knowledge-base/what-is-resend-pricing</t>
  </si>
  <si>
    <t>Mensajeria utility</t>
  </si>
  <si>
    <t>WhatsApp Business</t>
  </si>
  <si>
    <t>https://whatsappbusiness.com/products/platform-pricing/</t>
  </si>
  <si>
    <t>Tipo de cambio</t>
  </si>
  <si>
    <t>https://www.ecb.europa.eu/stats/policy_and_exchange_rates/euro_reference_exchange_rates/html/index.en.html</t>
  </si>
  <si>
    <t>Voz telefonica</t>
  </si>
  <si>
    <t>https://www.retellai.com/pricing</t>
  </si>
  <si>
    <t>Groq Speech-to-Text</t>
  </si>
  <si>
    <t>https://console.groq.com/docs/speech-to-text</t>
  </si>
  <si>
    <t>GPU serverless</t>
  </si>
  <si>
    <t>Runpod</t>
  </si>
  <si>
    <t>https://www.runpod.io/product/serverless</t>
  </si>
  <si>
    <t>Modelo abierto</t>
  </si>
  <si>
    <t>Qwen3</t>
  </si>
  <si>
    <t>https://github.com/QwenLM/Qwen3</t>
  </si>
  <si>
    <t>Cautelas</t>
  </si>
  <si>
    <t>La tarifa utility de WhatsApp en Espana usa ademas una rate card publicada por un tercero, porque la tabla oficial dinamica no expuso el valor durante la consulta. Las tarifas pueden cambiar y no siempre incluyen impuestos. El coste de la hoja Hipotesis_Externa no tiene fuente ni fecha conocidas.</t>
  </si>
  <si>
    <t>Indicadores derivados</t>
  </si>
  <si>
    <t>Mes en que el resultado se vuelve positivo</t>
  </si>
  <si>
    <t>Caja minima alcanzada</t>
  </si>
  <si>
    <t>Mes de caja minima</t>
  </si>
  <si>
    <t>Cartera al mes 24</t>
  </si>
  <si>
    <t>ARR al mes 24</t>
  </si>
  <si>
    <t>La caja minima es la cifra que decide si el proyecto sobrevive: es el dinero que hay que tener disponible antes de empezar. Si supera el capital aportado, el plan no es financiable tal cual y hay que recortar opex, subir precio o retrasar la contratacion.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</si>
</sst>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quot;€&quot;"/>
    <numFmt numFmtId="165" formatCode="#,##0\ &quot;€&quot;"/>
    <numFmt numFmtId="166" formatCode="0.0%"/>
    <numFmt numFmtId="167" formatCode="0.0000"/>
    <numFmt numFmtId="168" formatCode="0.000000"/>
    <numFmt numFmtId="169" formatCode="0.000"/>
    <numFmt numFmtId="170" formatCode="0.0&quot;x&quot;"/>
    <numFmt numFmtId="171" formatCode="#,##0.0"/>
  </numFmts>
  <fonts count="26">
    <font>
      <sz val="11.0"/>
      <color theme="1"/>
      <name val="Calibri"/>
      <scheme val="minor"/>
    </font>
    <font>
      <b/>
      <sz val="17.0"/>
      <color rgb="FF14463B"/>
      <name val="Play"/>
    </font>
    <font>
      <i/>
      <sz val="9.0"/>
      <color rgb="FF5D6B66"/>
      <name val="Aptos"/>
    </font>
    <font>
      <b/>
      <sz val="10.0"/>
      <color rgb="FFFFFFFF"/>
      <name val="Aptos"/>
    </font>
    <font/>
    <font>
      <b/>
      <sz val="9.0"/>
      <color rgb="FF14463B"/>
      <name val="Aptos"/>
    </font>
    <font>
      <sz val="10.0"/>
      <color rgb="FF15211C"/>
      <name val="Aptos"/>
    </font>
    <font>
      <b/>
      <sz val="10.0"/>
      <color rgb="FF15211C"/>
      <name val="Aptos"/>
    </font>
    <font>
      <sz val="10.0"/>
      <color rgb="FF0000CC"/>
      <name val="Aptos"/>
    </font>
    <font>
      <b/>
      <sz val="13.0"/>
      <color rgb="FF0000CC"/>
      <name val="Aptos"/>
    </font>
    <font>
      <sz val="9.0"/>
      <color rgb="FF5D6B66"/>
      <name val="Aptos"/>
    </font>
    <font>
      <sz val="11.0"/>
      <color theme="1"/>
      <name val="Calibri"/>
    </font>
    <font>
      <b/>
      <sz val="10.0"/>
      <color rgb="FF14463B"/>
      <name val="Aptos"/>
    </font>
    <font>
      <b/>
      <sz val="11.0"/>
      <color rgb="FF14463B"/>
      <name val="Aptos"/>
    </font>
    <font>
      <b/>
      <sz val="10.0"/>
      <color rgb="FFC0533F"/>
      <name val="Aptos"/>
    </font>
    <font>
      <sz val="10.0"/>
      <color rgb="FF0000CC"/>
      <name val="Arial"/>
    </font>
    <font>
      <b/>
      <sz val="9.0"/>
      <color rgb="FFB7831F"/>
      <name val="Aptos"/>
    </font>
    <font>
      <sz val="10.0"/>
      <color rgb="FF5D6B66"/>
      <name val="Aptos"/>
    </font>
    <font>
      <b/>
      <sz val="13.0"/>
      <color rgb="FF14463B"/>
      <name val="Aptos"/>
    </font>
    <font>
      <b/>
      <sz val="12.0"/>
      <color rgb="FF14463B"/>
      <name val="Aptos"/>
    </font>
    <font>
      <b/>
      <sz val="10.0"/>
      <color rgb="FF0000CC"/>
      <name val="Aptos"/>
    </font>
    <font>
      <b/>
      <sz val="11.0"/>
      <color rgb="FF0000CC"/>
      <name val="Arial"/>
    </font>
    <font>
      <b/>
      <sz val="10.0"/>
      <color rgb="FFB7831F"/>
      <name val="Aptos"/>
    </font>
    <font>
      <color theme="1"/>
      <name val="Calibri"/>
      <scheme val="minor"/>
    </font>
    <font>
      <b/>
      <sz val="9.0"/>
      <color rgb="FF0000CC"/>
      <name val="Aptos"/>
    </font>
    <font>
      <u/>
      <sz val="9.0"/>
      <color rgb="FF008000"/>
      <name val="Aptos"/>
    </font>
  </fonts>
  <fills count="6">
    <fill>
      <patternFill patternType="none"/>
    </fill>
    <fill>
      <patternFill patternType="lightGray"/>
    </fill>
    <fill>
      <patternFill patternType="solid">
        <fgColor rgb="FF2E8B74"/>
        <bgColor rgb="FF2E8B74"/>
      </patternFill>
    </fill>
    <fill>
      <patternFill patternType="solid">
        <fgColor rgb="FFE7E0D1"/>
        <bgColor rgb="FFE7E0D1"/>
      </patternFill>
    </fill>
    <fill>
      <patternFill patternType="solid">
        <fgColor rgb="FFFDF3E7"/>
        <bgColor rgb="FFFDF3E7"/>
      </patternFill>
    </fill>
    <fill>
      <patternFill patternType="solid">
        <fgColor rgb="FFF4F1EA"/>
        <bgColor rgb="FFF4F1EA"/>
      </patternFill>
    </fill>
  </fills>
  <borders count="5">
    <border/>
    <border>
      <left/>
      <top/>
      <bottom/>
    </border>
    <border>
      <top/>
      <bottom/>
    </border>
    <border>
      <right/>
      <top/>
      <bottom/>
    </border>
    <border>
      <left style="thin">
        <color rgb="FFDDD8CC"/>
      </left>
      <right style="thin">
        <color rgb="FFDDD8CC"/>
      </right>
      <top style="thin">
        <color rgb="FFDDD8CC"/>
      </top>
      <bottom style="thin">
        <color rgb="FFDDD8CC"/>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Border="1" applyFill="1" applyFont="1"/>
    <xf borderId="2" fillId="0" fontId="4" numFmtId="0" xfId="0" applyBorder="1" applyFont="1"/>
    <xf borderId="3" fillId="0" fontId="4" numFmtId="0" xfId="0" applyBorder="1" applyFont="1"/>
    <xf borderId="4" fillId="3" fontId="5" numFmtId="0" xfId="0" applyAlignment="1" applyBorder="1" applyFill="1" applyFont="1">
      <alignment shrinkToFit="0" vertical="center" wrapText="1"/>
    </xf>
    <xf borderId="0" fillId="0" fontId="6" numFmtId="0" xfId="0" applyFont="1"/>
    <xf borderId="0" fillId="0" fontId="7" numFmtId="0" xfId="0" applyFont="1"/>
    <xf borderId="4" fillId="0" fontId="8" numFmtId="164" xfId="0" applyBorder="1" applyFont="1" applyNumberFormat="1"/>
    <xf borderId="4" fillId="4" fontId="9" numFmtId="3" xfId="0" applyAlignment="1" applyBorder="1" applyFill="1" applyFont="1" applyNumberFormat="1">
      <alignment horizontal="center"/>
    </xf>
    <xf borderId="0" fillId="0" fontId="10" numFmtId="0" xfId="0" applyFont="1"/>
    <xf borderId="0" fillId="0" fontId="6" numFmtId="164" xfId="0" applyFont="1" applyNumberFormat="1"/>
    <xf borderId="4" fillId="0" fontId="6" numFmtId="164" xfId="0" applyBorder="1" applyFont="1" applyNumberFormat="1"/>
    <xf borderId="4" fillId="0" fontId="11" numFmtId="165" xfId="0" applyBorder="1" applyFont="1" applyNumberFormat="1"/>
    <xf borderId="4" fillId="0" fontId="8" numFmtId="166" xfId="0" applyBorder="1" applyFont="1" applyNumberFormat="1"/>
    <xf borderId="0" fillId="0" fontId="6" numFmtId="166" xfId="0" applyFont="1" applyNumberFormat="1"/>
    <xf borderId="4" fillId="0" fontId="8" numFmtId="3" xfId="0" applyBorder="1" applyFont="1" applyNumberFormat="1"/>
    <xf borderId="0" fillId="0" fontId="12" numFmtId="0" xfId="0" applyFont="1"/>
    <xf borderId="4" fillId="5" fontId="13" numFmtId="3" xfId="0" applyBorder="1" applyFill="1" applyFont="1" applyNumberFormat="1"/>
    <xf borderId="4" fillId="5" fontId="13" numFmtId="165" xfId="0" applyBorder="1" applyFont="1" applyNumberFormat="1"/>
    <xf borderId="4" fillId="0" fontId="8" numFmtId="4" xfId="0" applyBorder="1" applyFont="1" applyNumberFormat="1"/>
    <xf borderId="4" fillId="0" fontId="11" numFmtId="164" xfId="0" applyBorder="1" applyFont="1" applyNumberFormat="1"/>
    <xf borderId="0" fillId="0" fontId="12" numFmtId="164" xfId="0" applyFont="1" applyNumberFormat="1"/>
    <xf borderId="4" fillId="0" fontId="8" numFmtId="167" xfId="0" applyBorder="1" applyFont="1" applyNumberFormat="1"/>
    <xf borderId="0" fillId="0" fontId="12" numFmtId="3" xfId="0" applyFont="1" applyNumberFormat="1"/>
    <xf borderId="4" fillId="0" fontId="8" numFmtId="10" xfId="0" applyBorder="1" applyFont="1" applyNumberFormat="1"/>
    <xf borderId="0" fillId="0" fontId="12" numFmtId="165" xfId="0" applyFont="1" applyNumberFormat="1"/>
    <xf borderId="0" fillId="0" fontId="14" numFmtId="0" xfId="0" applyFont="1"/>
    <xf borderId="0" fillId="0" fontId="6" numFmtId="0" xfId="0" applyAlignment="1" applyFont="1">
      <alignment shrinkToFit="0" vertical="top" wrapText="1"/>
    </xf>
    <xf borderId="4" fillId="0" fontId="8" numFmtId="168" xfId="0" applyBorder="1" applyFont="1" applyNumberFormat="1"/>
    <xf borderId="4" fillId="0" fontId="8" numFmtId="9" xfId="0" applyBorder="1" applyFont="1" applyNumberFormat="1"/>
    <xf borderId="4" fillId="0" fontId="8" numFmtId="169" xfId="0" applyBorder="1" applyFont="1" applyNumberFormat="1"/>
    <xf borderId="4" fillId="0" fontId="8" numFmtId="2" xfId="0" applyBorder="1" applyFont="1" applyNumberFormat="1"/>
    <xf borderId="4" fillId="5" fontId="12" numFmtId="164" xfId="0" applyBorder="1" applyFont="1" applyNumberFormat="1"/>
    <xf borderId="4" fillId="0" fontId="15" numFmtId="164" xfId="0" applyAlignment="1" applyBorder="1" applyFont="1" applyNumberFormat="1">
      <alignment readingOrder="0"/>
    </xf>
    <xf borderId="4" fillId="0" fontId="15" numFmtId="165" xfId="0" applyAlignment="1" applyBorder="1" applyFont="1" applyNumberFormat="1">
      <alignment readingOrder="0"/>
    </xf>
    <xf borderId="0" fillId="0" fontId="16" numFmtId="0" xfId="0" applyFont="1"/>
    <xf borderId="4" fillId="0" fontId="8" numFmtId="165" xfId="0" applyBorder="1" applyFont="1" applyNumberFormat="1"/>
    <xf borderId="4" fillId="0" fontId="12" numFmtId="166" xfId="0" applyBorder="1" applyFont="1" applyNumberFormat="1"/>
    <xf borderId="0" fillId="0" fontId="10" numFmtId="0" xfId="0" applyAlignment="1" applyFont="1">
      <alignment shrinkToFit="0" vertical="top" wrapText="1"/>
    </xf>
    <xf borderId="0" fillId="0" fontId="17" numFmtId="0" xfId="0" applyFont="1"/>
    <xf borderId="4" fillId="5" fontId="12" numFmtId="165" xfId="0" applyBorder="1" applyFont="1" applyNumberFormat="1"/>
    <xf borderId="4" fillId="5" fontId="13" numFmtId="164" xfId="0" applyBorder="1" applyFont="1" applyNumberFormat="1"/>
    <xf borderId="4" fillId="0" fontId="6" numFmtId="165" xfId="0" applyBorder="1" applyFont="1" applyNumberFormat="1"/>
    <xf borderId="4" fillId="0" fontId="12" numFmtId="165" xfId="0" applyBorder="1" applyFont="1" applyNumberFormat="1"/>
    <xf borderId="4" fillId="5" fontId="18" numFmtId="165" xfId="0" applyBorder="1" applyFont="1" applyNumberFormat="1"/>
    <xf borderId="4" fillId="0" fontId="6" numFmtId="3" xfId="0" applyBorder="1" applyFont="1" applyNumberFormat="1"/>
    <xf borderId="4" fillId="5" fontId="19" numFmtId="3" xfId="0" applyBorder="1" applyFont="1" applyNumberFormat="1"/>
    <xf borderId="4" fillId="5" fontId="19" numFmtId="0" xfId="0" applyBorder="1" applyFont="1"/>
    <xf borderId="4" fillId="0" fontId="6" numFmtId="166" xfId="0" applyBorder="1" applyFont="1" applyNumberFormat="1"/>
    <xf borderId="4" fillId="0" fontId="14" numFmtId="170" xfId="0" applyBorder="1" applyFont="1" applyNumberFormat="1"/>
    <xf borderId="4" fillId="0" fontId="11" numFmtId="166" xfId="0" applyBorder="1" applyFont="1" applyNumberFormat="1"/>
    <xf borderId="4" fillId="0" fontId="14" numFmtId="166" xfId="0" applyBorder="1" applyFont="1" applyNumberFormat="1"/>
    <xf borderId="0" fillId="0" fontId="8" numFmtId="0" xfId="0" applyFont="1"/>
    <xf borderId="4" fillId="0" fontId="7" numFmtId="165" xfId="0" applyBorder="1" applyFont="1" applyNumberFormat="1"/>
    <xf borderId="4" fillId="4" fontId="20" numFmtId="164" xfId="0" applyBorder="1" applyFont="1" applyNumberFormat="1"/>
    <xf borderId="4" fillId="4" fontId="20" numFmtId="166" xfId="0" applyBorder="1" applyFont="1" applyNumberFormat="1"/>
    <xf borderId="4" fillId="5" fontId="21" numFmtId="0" xfId="0" applyAlignment="1" applyBorder="1" applyFont="1">
      <alignment readingOrder="0"/>
    </xf>
    <xf borderId="0" fillId="0" fontId="2" numFmtId="0" xfId="0" applyFont="1"/>
    <xf borderId="4" fillId="5" fontId="13" numFmtId="171" xfId="0" applyBorder="1" applyFont="1" applyNumberFormat="1"/>
    <xf borderId="4" fillId="4" fontId="8" numFmtId="3" xfId="0" applyBorder="1" applyFont="1" applyNumberFormat="1"/>
    <xf borderId="4" fillId="0" fontId="6" numFmtId="171" xfId="0" applyBorder="1" applyFont="1" applyNumberFormat="1"/>
    <xf borderId="4" fillId="5" fontId="8" numFmtId="3" xfId="0" applyBorder="1" applyFont="1" applyNumberFormat="1"/>
    <xf borderId="4" fillId="4" fontId="8" numFmtId="166" xfId="0" applyBorder="1" applyFont="1" applyNumberFormat="1"/>
    <xf borderId="4" fillId="5" fontId="8" numFmtId="166" xfId="0" applyBorder="1" applyFont="1" applyNumberFormat="1"/>
    <xf borderId="4" fillId="4" fontId="8" numFmtId="165" xfId="0" applyBorder="1" applyFont="1" applyNumberFormat="1"/>
    <xf borderId="4" fillId="5" fontId="8" numFmtId="165" xfId="0" applyBorder="1" applyFont="1" applyNumberFormat="1"/>
    <xf borderId="4" fillId="0" fontId="12" numFmtId="3" xfId="0" applyBorder="1" applyFont="1" applyNumberFormat="1"/>
    <xf borderId="4" fillId="5" fontId="13" numFmtId="170" xfId="0" applyBorder="1" applyFont="1" applyNumberFormat="1"/>
    <xf borderId="4" fillId="5" fontId="13" numFmtId="0" xfId="0" applyBorder="1" applyFont="1"/>
    <xf borderId="4" fillId="0" fontId="22" numFmtId="3" xfId="0" applyBorder="1" applyFont="1" applyNumberFormat="1"/>
    <xf borderId="4" fillId="0" fontId="22" numFmtId="171" xfId="0" applyBorder="1" applyFont="1" applyNumberFormat="1"/>
    <xf borderId="4" fillId="4" fontId="20" numFmtId="0" xfId="0" applyBorder="1" applyFont="1"/>
    <xf borderId="0" fillId="0" fontId="23" numFmtId="0" xfId="0" applyFont="1"/>
    <xf borderId="4" fillId="0" fontId="11" numFmtId="171" xfId="0" applyBorder="1" applyFont="1" applyNumberFormat="1"/>
    <xf borderId="4" fillId="3" fontId="5" numFmtId="0" xfId="0" applyBorder="1" applyFont="1"/>
    <xf borderId="4" fillId="3" fontId="24" numFmtId="164" xfId="0" applyBorder="1" applyFont="1" applyNumberFormat="1"/>
    <xf borderId="4" fillId="3" fontId="24" numFmtId="165" xfId="0" applyBorder="1" applyFont="1" applyNumberFormat="1"/>
    <xf borderId="4" fillId="5" fontId="12" numFmtId="166" xfId="0" applyBorder="1" applyFont="1" applyNumberFormat="1"/>
    <xf borderId="4" fillId="0" fontId="11" numFmtId="3" xfId="0" applyBorder="1" applyFont="1" applyNumberFormat="1"/>
    <xf borderId="4" fillId="5" fontId="12" numFmtId="3" xfId="0" applyBorder="1" applyFont="1" applyNumberFormat="1"/>
    <xf borderId="4" fillId="0" fontId="11" numFmtId="0" xfId="0" applyBorder="1" applyFont="1"/>
    <xf borderId="4" fillId="0" fontId="13" numFmtId="3" xfId="0" applyBorder="1" applyFont="1" applyNumberFormat="1"/>
    <xf borderId="4" fillId="0" fontId="8" numFmtId="0" xfId="0" applyBorder="1" applyFont="1"/>
    <xf borderId="4" fillId="0" fontId="12" numFmtId="2" xfId="0" applyBorder="1" applyFont="1" applyNumberFormat="1"/>
    <xf borderId="4" fillId="0" fontId="10" numFmtId="0" xfId="0" applyBorder="1" applyFont="1"/>
    <xf borderId="4" fillId="4" fontId="8" numFmtId="0" xfId="0" applyBorder="1" applyFont="1"/>
    <xf borderId="4" fillId="0" fontId="6" numFmtId="0" xfId="0" applyBorder="1" applyFont="1"/>
    <xf borderId="0" fillId="0" fontId="25" numFmtId="0" xfId="0" applyFont="1"/>
  </cellXfs>
  <cellStyles count="1">
    <cellStyle xfId="0" name="Normal" builtinId="0"/>
  </cellStyles>
  <dxfs count="4">
    <dxf>
      <font>
        <b/>
        <sz val="13.0"/>
        <color rgb="FFC0533F"/>
      </font>
      <fill>
        <patternFill patternType="none"/>
      </fill>
      <border/>
    </dxf>
    <dxf>
      <font>
        <b/>
        <sz val="13.0"/>
        <color rgb="FF1F8A6D"/>
      </font>
      <fill>
        <patternFill patternType="none"/>
      </fill>
      <border/>
    </dxf>
    <dxf>
      <font>
        <b/>
        <color rgb="FFC0533F"/>
      </font>
      <fill>
        <patternFill patternType="none"/>
      </fill>
      <border/>
    </dxf>
    <dxf>
      <font>
        <b/>
        <color rgb="FF1F8A6D"/>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tripe.com/es/pricing" TargetMode="External"/><Relationship Id="rId2" Type="http://schemas.openxmlformats.org/officeDocument/2006/relationships/hyperlink" Target="https://www.anthropic.com/claude/haiku" TargetMode="External"/><Relationship Id="rId3" Type="http://schemas.openxmlformats.org/officeDocument/2006/relationships/hyperlink" Target="https://docs.railway.com/pricing" TargetMode="External"/><Relationship Id="rId4" Type="http://schemas.openxmlformats.org/officeDocument/2006/relationships/hyperlink" Target="https://resend.com/docs/knowledge-base/what-is-resend-pricing" TargetMode="External"/><Relationship Id="rId11" Type="http://schemas.openxmlformats.org/officeDocument/2006/relationships/drawing" Target="../drawings/drawing17.xml"/><Relationship Id="rId10" Type="http://schemas.openxmlformats.org/officeDocument/2006/relationships/hyperlink" Target="https://github.com/QwenLM/Qwen3" TargetMode="External"/><Relationship Id="rId9" Type="http://schemas.openxmlformats.org/officeDocument/2006/relationships/hyperlink" Target="https://www.runpod.io/product/serverless" TargetMode="External"/><Relationship Id="rId5" Type="http://schemas.openxmlformats.org/officeDocument/2006/relationships/hyperlink" Target="https://whatsappbusiness.com/products/platform-pricing/" TargetMode="External"/><Relationship Id="rId6" Type="http://schemas.openxmlformats.org/officeDocument/2006/relationships/hyperlink" Target="https://www.ecb.europa.eu/stats/policy_and_exchange_rates/euro_reference_exchange_rates/html/index.en.html" TargetMode="External"/><Relationship Id="rId7" Type="http://schemas.openxmlformats.org/officeDocument/2006/relationships/hyperlink" Target="https://www.retellai.com/pricing" TargetMode="External"/><Relationship Id="rId8" Type="http://schemas.openxmlformats.org/officeDocument/2006/relationships/hyperlink" Target="https://console.groq.com/docs/speech-to-tex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38.0"/>
    <col customWidth="1" min="2" max="4" width="16.0"/>
    <col customWidth="1" min="5" max="5" width="15.0"/>
    <col customWidth="1" min="6" max="6" width="40.0"/>
    <col customWidth="1" min="7" max="26" width="8.71"/>
  </cols>
  <sheetData>
    <row r="1" ht="25.5" customHeight="1">
      <c r="A1" s="1" t="s">
        <v>0</v>
      </c>
    </row>
    <row r="2" ht="30.0" customHeight="1">
      <c r="A2" s="2" t="s">
        <v>5</v>
      </c>
    </row>
    <row r="4">
      <c r="A4" s="3" t="s">
        <v>8</v>
      </c>
      <c r="B4" s="4"/>
      <c r="C4" s="4"/>
      <c r="D4" s="4"/>
      <c r="E4" s="4"/>
      <c r="F4" s="5"/>
    </row>
    <row r="5">
      <c r="A5" s="6" t="s">
        <v>14</v>
      </c>
      <c r="B5" s="6" t="s">
        <v>16</v>
      </c>
      <c r="C5" s="6" t="s">
        <v>19</v>
      </c>
      <c r="D5" s="6" t="s">
        <v>22</v>
      </c>
      <c r="E5" s="6" t="s">
        <v>23</v>
      </c>
      <c r="F5" s="6" t="s">
        <v>26</v>
      </c>
    </row>
    <row r="6">
      <c r="A6" s="7" t="s">
        <v>28</v>
      </c>
      <c r="B6" s="12">
        <f>Supuestos!B7</f>
        <v>29</v>
      </c>
      <c r="C6" s="12">
        <f>Supuestos!C7</f>
        <v>49</v>
      </c>
      <c r="D6" s="12">
        <f>Supuestos!D7</f>
        <v>99</v>
      </c>
      <c r="E6" s="7" t="s">
        <v>34</v>
      </c>
      <c r="F6" s="7" t="s">
        <v>39</v>
      </c>
    </row>
    <row r="7">
      <c r="A7" s="7" t="s">
        <v>40</v>
      </c>
      <c r="B7" s="12">
        <v>319.0</v>
      </c>
      <c r="C7" s="12">
        <v>539.0</v>
      </c>
      <c r="D7" s="12">
        <v>1089.0</v>
      </c>
      <c r="E7" s="7" t="s">
        <v>41</v>
      </c>
      <c r="F7" s="7" t="s">
        <v>42</v>
      </c>
    </row>
    <row r="8">
      <c r="A8" s="7" t="s">
        <v>43</v>
      </c>
      <c r="B8" s="16">
        <f>Supuestos!B8</f>
        <v>0.55</v>
      </c>
      <c r="C8" s="16">
        <f>Supuestos!C8</f>
        <v>0.35</v>
      </c>
      <c r="D8" s="16">
        <f>Supuestos!D8</f>
        <v>0.1</v>
      </c>
      <c r="E8" s="7" t="s">
        <v>44</v>
      </c>
      <c r="F8" s="7" t="s">
        <v>49</v>
      </c>
    </row>
    <row r="9">
      <c r="A9" s="7"/>
      <c r="B9" s="7"/>
      <c r="C9" s="7"/>
      <c r="D9" s="7"/>
      <c r="E9" s="7"/>
      <c r="F9" s="7"/>
    </row>
    <row r="10">
      <c r="A10" s="3" t="s">
        <v>51</v>
      </c>
      <c r="B10" s="4"/>
      <c r="C10" s="4"/>
      <c r="D10" s="4"/>
      <c r="E10" s="4"/>
      <c r="F10" s="5"/>
    </row>
    <row r="11">
      <c r="A11" s="6" t="s">
        <v>11</v>
      </c>
      <c r="B11" s="6" t="s">
        <v>16</v>
      </c>
      <c r="C11" s="6" t="s">
        <v>19</v>
      </c>
      <c r="D11" s="6" t="s">
        <v>22</v>
      </c>
      <c r="E11" s="6" t="s">
        <v>23</v>
      </c>
      <c r="F11" s="6" t="s">
        <v>26</v>
      </c>
    </row>
    <row r="12">
      <c r="A12" s="7" t="s">
        <v>58</v>
      </c>
      <c r="B12" s="12">
        <f>Unit_Economics!E13</f>
        <v>1.482136081</v>
      </c>
      <c r="C12" s="12">
        <f>Unit_Economics!F13</f>
        <v>3.044018588</v>
      </c>
      <c r="D12" s="12">
        <f>Unit_Economics!G13</f>
        <v>18.46973024</v>
      </c>
      <c r="E12" s="7" t="s">
        <v>54</v>
      </c>
      <c r="F12" s="7" t="s">
        <v>63</v>
      </c>
    </row>
    <row r="13">
      <c r="A13" s="7" t="s">
        <v>65</v>
      </c>
      <c r="B13" s="16">
        <f>Unit_Economics!E14</f>
        <v>0.9488918593</v>
      </c>
      <c r="C13" s="16">
        <f>Unit_Economics!F14</f>
        <v>0.9378771717</v>
      </c>
      <c r="D13" s="16">
        <f>Unit_Economics!G14</f>
        <v>0.8134370683</v>
      </c>
      <c r="E13" s="7" t="s">
        <v>44</v>
      </c>
      <c r="F13" s="7" t="s">
        <v>69</v>
      </c>
    </row>
    <row r="14">
      <c r="A14" s="7" t="s">
        <v>70</v>
      </c>
      <c r="B14" s="12">
        <f>Unit_Economics!E18</f>
        <v>21.40619725</v>
      </c>
      <c r="C14" s="12">
        <f>Unit_Economics!F18</f>
        <v>35.46931474</v>
      </c>
      <c r="D14" s="12">
        <f>Unit_Economics!G18</f>
        <v>57.5436031</v>
      </c>
      <c r="E14" s="7" t="s">
        <v>54</v>
      </c>
      <c r="F14" s="7" t="s">
        <v>73</v>
      </c>
    </row>
    <row r="15">
      <c r="A15" s="7" t="s">
        <v>74</v>
      </c>
      <c r="B15" s="16">
        <f>Unit_Economics!E19</f>
        <v>0.7381447329</v>
      </c>
      <c r="C15" s="16">
        <f>Unit_Economics!F19</f>
        <v>0.7238635662</v>
      </c>
      <c r="D15" s="16">
        <f>Unit_Economics!G19</f>
        <v>0.5812485161</v>
      </c>
      <c r="E15" s="7" t="s">
        <v>44</v>
      </c>
      <c r="F15" s="7" t="s">
        <v>80</v>
      </c>
    </row>
    <row r="16">
      <c r="A16" s="7"/>
      <c r="B16" s="7"/>
      <c r="C16" s="7"/>
      <c r="D16" s="7"/>
      <c r="E16" s="7"/>
      <c r="F16" s="7"/>
    </row>
    <row r="17">
      <c r="A17" s="3" t="s">
        <v>83</v>
      </c>
      <c r="B17" s="4"/>
      <c r="C17" s="4"/>
      <c r="D17" s="4"/>
      <c r="E17" s="4"/>
      <c r="F17" s="5"/>
    </row>
    <row r="18">
      <c r="A18" s="6" t="s">
        <v>11</v>
      </c>
      <c r="B18" s="6" t="s">
        <v>89</v>
      </c>
      <c r="C18" s="6"/>
      <c r="D18" s="6"/>
      <c r="E18" s="6" t="s">
        <v>23</v>
      </c>
      <c r="F18" s="6" t="s">
        <v>26</v>
      </c>
    </row>
    <row r="19">
      <c r="A19" s="7" t="s">
        <v>92</v>
      </c>
      <c r="B19" s="23">
        <f>Unit_Economics!E18*Supuestos!B8+Unit_Economics!F18*Supuestos!C8+Unit_Economics!G18*Supuestos!D8</f>
        <v>29.94202896</v>
      </c>
      <c r="C19" s="7"/>
      <c r="D19" s="7"/>
      <c r="E19" s="7" t="s">
        <v>98</v>
      </c>
      <c r="F19" s="7" t="s">
        <v>99</v>
      </c>
    </row>
    <row r="20">
      <c r="A20" s="7" t="s">
        <v>100</v>
      </c>
      <c r="B20" s="23">
        <f>Supuestos!B41</f>
        <v>500</v>
      </c>
      <c r="C20" s="7"/>
      <c r="D20" s="7"/>
      <c r="E20" s="7" t="s">
        <v>54</v>
      </c>
      <c r="F20" s="7" t="s">
        <v>104</v>
      </c>
    </row>
    <row r="21" ht="15.75" customHeight="1">
      <c r="A21" s="7" t="s">
        <v>105</v>
      </c>
      <c r="B21" s="25">
        <f>IF(B19&gt;0,ROUNDUP(B20/B19,0),"")</f>
        <v>17</v>
      </c>
      <c r="C21" s="7"/>
      <c r="D21" s="7"/>
      <c r="E21" s="7" t="s">
        <v>112</v>
      </c>
      <c r="F21" s="7" t="s">
        <v>114</v>
      </c>
    </row>
    <row r="22" ht="15.75" customHeight="1">
      <c r="A22" s="7" t="s">
        <v>116</v>
      </c>
      <c r="B22" s="27">
        <f>IF(B21&lt;&gt;"",B21*(Supuestos!B7*Supuestos!B8+Supuestos!C7*Supuestos!C8+Supuestos!D7*Supuestos!D8),"")</f>
        <v>731</v>
      </c>
      <c r="C22" s="7"/>
      <c r="D22" s="7"/>
      <c r="E22" s="7" t="s">
        <v>54</v>
      </c>
      <c r="F22" s="7" t="s">
        <v>121</v>
      </c>
    </row>
    <row r="23" ht="15.75" customHeight="1">
      <c r="A23" s="7"/>
      <c r="B23" s="7"/>
      <c r="C23" s="7"/>
      <c r="D23" s="7"/>
      <c r="E23" s="7"/>
      <c r="F23" s="7"/>
    </row>
    <row r="24" ht="15.75" customHeight="1">
      <c r="A24" s="28" t="s">
        <v>125</v>
      </c>
      <c r="B24" s="7"/>
      <c r="C24" s="7"/>
      <c r="D24" s="7"/>
      <c r="E24" s="7"/>
      <c r="F24" s="7"/>
    </row>
    <row r="25" ht="15.75" customHeight="1">
      <c r="A25" s="29" t="s">
        <v>129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2:F2"/>
    <mergeCell ref="A4:F4"/>
    <mergeCell ref="A10:F10"/>
    <mergeCell ref="A17:F17"/>
    <mergeCell ref="A25:F2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B74"/>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5" width="16.0"/>
    <col customWidth="1" min="6" max="6" width="34.0"/>
    <col customWidth="1" min="7" max="26" width="8.71"/>
  </cols>
  <sheetData>
    <row r="1" ht="25.5" customHeight="1">
      <c r="A1" s="1" t="s">
        <v>3</v>
      </c>
    </row>
    <row r="2" ht="30.0" customHeight="1">
      <c r="A2" s="2" t="s">
        <v>4</v>
      </c>
    </row>
    <row r="4">
      <c r="A4" s="3" t="s">
        <v>9</v>
      </c>
      <c r="B4" s="4"/>
      <c r="C4" s="4"/>
      <c r="D4" s="4"/>
      <c r="E4" s="4"/>
      <c r="F4" s="5"/>
    </row>
    <row r="5">
      <c r="A5" s="6" t="s">
        <v>12</v>
      </c>
      <c r="B5" s="6" t="s">
        <v>15</v>
      </c>
      <c r="C5" s="6" t="s">
        <v>18</v>
      </c>
      <c r="D5" s="6" t="s">
        <v>21</v>
      </c>
      <c r="E5" s="6" t="s">
        <v>24</v>
      </c>
      <c r="F5" s="6" t="s">
        <v>26</v>
      </c>
    </row>
    <row r="6" ht="21.75" customHeight="1">
      <c r="A6" s="8" t="s">
        <v>16</v>
      </c>
      <c r="B6" s="10">
        <v>0.0</v>
      </c>
      <c r="C6" s="14">
        <f>Supuestos!B7</f>
        <v>29</v>
      </c>
      <c r="D6" s="14">
        <f t="shared" ref="D6:D8" si="1">B6*C6</f>
        <v>0</v>
      </c>
      <c r="E6" s="14">
        <f t="shared" ref="E6:E8" si="2">D6*12</f>
        <v>0</v>
      </c>
    </row>
    <row r="7" ht="21.75" customHeight="1">
      <c r="A7" s="8" t="s">
        <v>19</v>
      </c>
      <c r="B7" s="10">
        <v>0.0</v>
      </c>
      <c r="C7" s="14">
        <f>Supuestos!C7</f>
        <v>49</v>
      </c>
      <c r="D7" s="14">
        <f t="shared" si="1"/>
        <v>0</v>
      </c>
      <c r="E7" s="14">
        <f t="shared" si="2"/>
        <v>0</v>
      </c>
    </row>
    <row r="8" ht="21.75" customHeight="1">
      <c r="A8" s="8" t="s">
        <v>22</v>
      </c>
      <c r="B8" s="10">
        <v>0.0</v>
      </c>
      <c r="C8" s="14">
        <f>Supuestos!D7</f>
        <v>99</v>
      </c>
      <c r="D8" s="14">
        <f t="shared" si="1"/>
        <v>0</v>
      </c>
      <c r="E8" s="14">
        <f t="shared" si="2"/>
        <v>0</v>
      </c>
    </row>
    <row r="9">
      <c r="A9" s="18" t="s">
        <v>66</v>
      </c>
      <c r="B9" s="19">
        <f>SUM(B6:B8)</f>
        <v>0</v>
      </c>
      <c r="D9" s="20">
        <f t="shared" ref="D9:E9" si="3">SUM(D6:D8)</f>
        <v>0</v>
      </c>
      <c r="E9" s="20">
        <f t="shared" si="3"/>
        <v>0</v>
      </c>
      <c r="F9" s="11" t="s">
        <v>76</v>
      </c>
    </row>
    <row r="11">
      <c r="A11" s="3" t="s">
        <v>78</v>
      </c>
      <c r="B11" s="4"/>
      <c r="C11" s="4"/>
      <c r="D11" s="4"/>
      <c r="E11" s="4"/>
      <c r="F11" s="5"/>
    </row>
    <row r="12">
      <c r="A12" s="6" t="s">
        <v>14</v>
      </c>
      <c r="B12" s="6" t="s">
        <v>16</v>
      </c>
      <c r="C12" s="6" t="s">
        <v>19</v>
      </c>
      <c r="D12" s="6" t="s">
        <v>22</v>
      </c>
      <c r="E12" s="6" t="s">
        <v>84</v>
      </c>
      <c r="F12" s="6" t="s">
        <v>85</v>
      </c>
    </row>
    <row r="13">
      <c r="A13" s="7" t="s">
        <v>86</v>
      </c>
      <c r="B13" s="22">
        <f>$B$6*Unit_Economics!E6</f>
        <v>0</v>
      </c>
      <c r="C13" s="22">
        <f>$B$7*Unit_Economics!F6</f>
        <v>0</v>
      </c>
      <c r="D13" s="22">
        <f>$B$8*Unit_Economics!G6</f>
        <v>0</v>
      </c>
      <c r="E13" s="22">
        <f t="shared" ref="E13:E19" si="4">SUM(B13:D13)</f>
        <v>0</v>
      </c>
      <c r="F13" s="22" t="str">
        <f t="shared" ref="F13:F20" si="5">IFERROR(E13/$B$9,"")</f>
        <v/>
      </c>
    </row>
    <row r="14">
      <c r="A14" s="7" t="s">
        <v>101</v>
      </c>
      <c r="B14" s="22">
        <f>$B$6*Unit_Economics!E7</f>
        <v>0</v>
      </c>
      <c r="C14" s="22">
        <f>$B$7*Unit_Economics!F7</f>
        <v>0</v>
      </c>
      <c r="D14" s="22">
        <f>$B$8*Unit_Economics!G7</f>
        <v>0</v>
      </c>
      <c r="E14" s="22">
        <f t="shared" si="4"/>
        <v>0</v>
      </c>
      <c r="F14" s="22" t="str">
        <f t="shared" si="5"/>
        <v/>
      </c>
    </row>
    <row r="15">
      <c r="A15" s="7" t="s">
        <v>96</v>
      </c>
      <c r="B15" s="22">
        <f>$B$6*Unit_Economics!E8</f>
        <v>0</v>
      </c>
      <c r="C15" s="22">
        <f>$B$7*Unit_Economics!F8</f>
        <v>0</v>
      </c>
      <c r="D15" s="22">
        <f>$B$8*Unit_Economics!G8</f>
        <v>0</v>
      </c>
      <c r="E15" s="22">
        <f t="shared" si="4"/>
        <v>0</v>
      </c>
      <c r="F15" s="22" t="str">
        <f t="shared" si="5"/>
        <v/>
      </c>
    </row>
    <row r="16">
      <c r="A16" s="7" t="s">
        <v>126</v>
      </c>
      <c r="B16" s="22">
        <f>$B$6*Unit_Economics!E9</f>
        <v>0</v>
      </c>
      <c r="C16" s="22">
        <f>$B$7*Unit_Economics!F9</f>
        <v>0</v>
      </c>
      <c r="D16" s="22">
        <f>$B$8*Unit_Economics!G9</f>
        <v>0</v>
      </c>
      <c r="E16" s="22">
        <f t="shared" si="4"/>
        <v>0</v>
      </c>
      <c r="F16" s="22" t="str">
        <f t="shared" si="5"/>
        <v/>
      </c>
    </row>
    <row r="17">
      <c r="A17" s="7" t="s">
        <v>135</v>
      </c>
      <c r="B17" s="22">
        <f>$B$6*Unit_Economics!E10</f>
        <v>0</v>
      </c>
      <c r="C17" s="22">
        <f>$B$7*Unit_Economics!F10</f>
        <v>0</v>
      </c>
      <c r="D17" s="22">
        <f>$B$8*Unit_Economics!G10</f>
        <v>0</v>
      </c>
      <c r="E17" s="22">
        <f t="shared" si="4"/>
        <v>0</v>
      </c>
      <c r="F17" s="22" t="str">
        <f t="shared" si="5"/>
        <v/>
      </c>
    </row>
    <row r="18">
      <c r="A18" s="7" t="s">
        <v>77</v>
      </c>
      <c r="B18" s="22">
        <f>$B$6*Unit_Economics!E11</f>
        <v>0</v>
      </c>
      <c r="C18" s="22">
        <f>$B$7*Unit_Economics!F11</f>
        <v>0</v>
      </c>
      <c r="D18" s="22">
        <f>$B$8*Unit_Economics!G11</f>
        <v>0</v>
      </c>
      <c r="E18" s="22">
        <f t="shared" si="4"/>
        <v>0</v>
      </c>
      <c r="F18" s="22" t="str">
        <f t="shared" si="5"/>
        <v/>
      </c>
    </row>
    <row r="19">
      <c r="A19" s="7" t="s">
        <v>152</v>
      </c>
      <c r="B19" s="22">
        <f>$B$6*Unit_Economics!E12</f>
        <v>0</v>
      </c>
      <c r="C19" s="22">
        <f>$B$7*Unit_Economics!F12</f>
        <v>0</v>
      </c>
      <c r="D19" s="22">
        <f>$B$8*Unit_Economics!G12</f>
        <v>0</v>
      </c>
      <c r="E19" s="22">
        <f t="shared" si="4"/>
        <v>0</v>
      </c>
      <c r="F19" s="22" t="str">
        <f t="shared" si="5"/>
        <v/>
      </c>
    </row>
    <row r="20">
      <c r="A20" s="18" t="s">
        <v>165</v>
      </c>
      <c r="B20" s="34">
        <f t="shared" ref="B20:E20" si="6">SUM(B13:B19)</f>
        <v>0</v>
      </c>
      <c r="C20" s="34">
        <f t="shared" si="6"/>
        <v>0</v>
      </c>
      <c r="D20" s="34">
        <f t="shared" si="6"/>
        <v>0</v>
      </c>
      <c r="E20" s="34">
        <f t="shared" si="6"/>
        <v>0</v>
      </c>
      <c r="F20" s="34" t="str">
        <f t="shared" si="5"/>
        <v/>
      </c>
    </row>
    <row r="21" ht="15.75" customHeight="1"/>
    <row r="22" ht="15.75" customHeight="1">
      <c r="A22" s="3" t="s">
        <v>174</v>
      </c>
      <c r="B22" s="4"/>
      <c r="C22" s="4"/>
      <c r="D22" s="4"/>
      <c r="E22" s="4"/>
      <c r="F22" s="5"/>
    </row>
    <row r="23" ht="15.75" customHeight="1">
      <c r="A23" s="6" t="s">
        <v>14</v>
      </c>
      <c r="B23" s="6" t="s">
        <v>16</v>
      </c>
      <c r="C23" s="6" t="s">
        <v>19</v>
      </c>
      <c r="D23" s="6" t="s">
        <v>22</v>
      </c>
      <c r="E23" s="6" t="s">
        <v>84</v>
      </c>
      <c r="F23" s="6" t="s">
        <v>85</v>
      </c>
    </row>
    <row r="24" ht="15.75" customHeight="1">
      <c r="A24" s="7" t="s">
        <v>88</v>
      </c>
      <c r="B24" s="22">
        <f>$B$6*Unit_Economics!E15</f>
        <v>0</v>
      </c>
      <c r="C24" s="22">
        <f>$B$7*Unit_Economics!F15</f>
        <v>0</v>
      </c>
      <c r="D24" s="22">
        <f>$B$8*Unit_Economics!G15</f>
        <v>0</v>
      </c>
      <c r="E24" s="22">
        <f t="shared" ref="E24:E25" si="7">SUM(B24:D24)</f>
        <v>0</v>
      </c>
      <c r="F24" s="22" t="str">
        <f t="shared" ref="F24:F25" si="8">IFERROR(E24/$B$9,"")</f>
        <v/>
      </c>
    </row>
    <row r="25" ht="15.75" customHeight="1">
      <c r="A25" s="7" t="s">
        <v>186</v>
      </c>
      <c r="B25" s="22">
        <f>$B$6*Unit_Economics!E16</f>
        <v>0</v>
      </c>
      <c r="C25" s="22">
        <f>$B$7*Unit_Economics!F16</f>
        <v>0</v>
      </c>
      <c r="D25" s="22">
        <f>$B$8*Unit_Economics!G16</f>
        <v>0</v>
      </c>
      <c r="E25" s="22">
        <f t="shared" si="7"/>
        <v>0</v>
      </c>
      <c r="F25" s="22" t="str">
        <f t="shared" si="8"/>
        <v/>
      </c>
    </row>
    <row r="26" ht="15.75" customHeight="1">
      <c r="A26" s="18" t="s">
        <v>187</v>
      </c>
      <c r="B26" s="34">
        <f t="shared" ref="B26:E26" si="9">SUM(B24:B25)</f>
        <v>0</v>
      </c>
      <c r="C26" s="34">
        <f t="shared" si="9"/>
        <v>0</v>
      </c>
      <c r="D26" s="34">
        <f t="shared" si="9"/>
        <v>0</v>
      </c>
      <c r="E26" s="34">
        <f t="shared" si="9"/>
        <v>0</v>
      </c>
    </row>
    <row r="27" ht="15.75" customHeight="1"/>
    <row r="28" ht="15.75" customHeight="1">
      <c r="A28" s="3" t="s">
        <v>188</v>
      </c>
      <c r="B28" s="4"/>
      <c r="C28" s="4"/>
      <c r="D28" s="4"/>
      <c r="E28" s="4"/>
      <c r="F28" s="5"/>
    </row>
    <row r="29" ht="15.75" customHeight="1">
      <c r="A29" s="6" t="s">
        <v>14</v>
      </c>
      <c r="B29" s="6" t="s">
        <v>190</v>
      </c>
      <c r="C29" s="6"/>
      <c r="D29" s="6"/>
      <c r="E29" s="6" t="s">
        <v>192</v>
      </c>
      <c r="F29" s="6" t="s">
        <v>26</v>
      </c>
    </row>
    <row r="30" ht="15.75" customHeight="1">
      <c r="A30" s="7" t="s">
        <v>195</v>
      </c>
      <c r="B30" s="14">
        <f>Supuestos!B40</f>
        <v>7</v>
      </c>
      <c r="E30" s="14">
        <f t="shared" ref="E30:E32" si="10">B30*12</f>
        <v>84</v>
      </c>
      <c r="F30" s="40" t="s">
        <v>200</v>
      </c>
    </row>
    <row r="31" ht="15.75" customHeight="1">
      <c r="A31" s="7" t="s">
        <v>203</v>
      </c>
      <c r="B31" s="14">
        <f>Supuestos!B41</f>
        <v>500</v>
      </c>
      <c r="E31" s="14">
        <f t="shared" si="10"/>
        <v>6000</v>
      </c>
      <c r="F31" s="40" t="s">
        <v>204</v>
      </c>
    </row>
    <row r="32" ht="15.75" customHeight="1">
      <c r="A32" s="7" t="s">
        <v>205</v>
      </c>
      <c r="B32" s="14" t="str">
        <f>IFERROR(Ads_Captacion!B6,0)</f>
        <v/>
      </c>
      <c r="E32" s="14">
        <f t="shared" si="10"/>
        <v>0</v>
      </c>
      <c r="F32" s="40" t="s">
        <v>212</v>
      </c>
    </row>
    <row r="33" ht="15.75" customHeight="1">
      <c r="A33" s="18" t="s">
        <v>213</v>
      </c>
      <c r="B33" s="42">
        <f>SUM(B30:B32)</f>
        <v>507</v>
      </c>
      <c r="E33" s="42">
        <f>SUM(E30:E32)</f>
        <v>6084</v>
      </c>
    </row>
    <row r="34" ht="15.75" customHeight="1"/>
    <row r="35" ht="15.75" customHeight="1">
      <c r="A35" s="3" t="s">
        <v>217</v>
      </c>
      <c r="B35" s="4"/>
      <c r="C35" s="4"/>
      <c r="D35" s="4"/>
      <c r="E35" s="4"/>
      <c r="F35" s="5"/>
    </row>
    <row r="36" ht="15.75" customHeight="1">
      <c r="A36" s="6" t="s">
        <v>11</v>
      </c>
      <c r="B36" s="6" t="s">
        <v>219</v>
      </c>
      <c r="C36" s="6"/>
      <c r="D36" s="6"/>
      <c r="E36" s="6" t="s">
        <v>192</v>
      </c>
      <c r="F36" s="6" t="s">
        <v>26</v>
      </c>
    </row>
    <row r="37" ht="15.75" customHeight="1">
      <c r="A37" s="7" t="s">
        <v>223</v>
      </c>
      <c r="B37" s="44">
        <f>D9</f>
        <v>0</v>
      </c>
      <c r="E37" s="44">
        <f t="shared" ref="E37:E42" si="11">B37*12</f>
        <v>0</v>
      </c>
      <c r="F37" s="11" t="s">
        <v>121</v>
      </c>
    </row>
    <row r="38" ht="15.75" customHeight="1">
      <c r="A38" s="7" t="s">
        <v>224</v>
      </c>
      <c r="B38" s="44">
        <f>-E20</f>
        <v>0</v>
      </c>
      <c r="E38" s="44">
        <f t="shared" si="11"/>
        <v>0</v>
      </c>
      <c r="F38" s="11" t="s">
        <v>225</v>
      </c>
    </row>
    <row r="39" ht="15.75" customHeight="1">
      <c r="A39" s="18" t="str">
        <f> Margen bruto</f>
        <v>#ERROR!</v>
      </c>
      <c r="B39" s="42">
        <f>B37+B38</f>
        <v>0</v>
      </c>
      <c r="E39" s="45">
        <f t="shared" si="11"/>
        <v>0</v>
      </c>
      <c r="F39" s="11" t="s">
        <v>227</v>
      </c>
    </row>
    <row r="40" ht="15.75" customHeight="1">
      <c r="A40" s="7" t="s">
        <v>229</v>
      </c>
      <c r="B40" s="44">
        <f>-E26</f>
        <v>0</v>
      </c>
      <c r="E40" s="44">
        <f t="shared" si="11"/>
        <v>0</v>
      </c>
      <c r="F40" s="11" t="s">
        <v>230</v>
      </c>
    </row>
    <row r="41" ht="15.75" customHeight="1">
      <c r="A41" s="7" t="s">
        <v>231</v>
      </c>
      <c r="B41" s="44">
        <f>-B33</f>
        <v>-507</v>
      </c>
      <c r="E41" s="44">
        <f t="shared" si="11"/>
        <v>-6084</v>
      </c>
      <c r="F41" s="11" t="s">
        <v>232</v>
      </c>
    </row>
    <row r="42" ht="24.0" customHeight="1">
      <c r="A42" s="18" t="str">
        <f> RESULTADO</f>
        <v>#NAME?</v>
      </c>
      <c r="B42" s="46">
        <f>B39+B40+B41</f>
        <v>-507</v>
      </c>
      <c r="E42" s="45">
        <f t="shared" si="11"/>
        <v>-6084</v>
      </c>
      <c r="F42" s="11" t="s">
        <v>233</v>
      </c>
    </row>
    <row r="43" ht="15.75" customHeight="1">
      <c r="A43" s="7" t="s">
        <v>234</v>
      </c>
      <c r="B43" s="39" t="str">
        <f>IFERROR(B42/B37,"")</f>
        <v/>
      </c>
    </row>
    <row r="44" ht="15.75" customHeight="1"/>
    <row r="45" ht="15.75" customHeight="1">
      <c r="A45" s="3" t="s">
        <v>235</v>
      </c>
      <c r="B45" s="4"/>
      <c r="C45" s="4"/>
      <c r="D45" s="4"/>
      <c r="E45" s="4"/>
      <c r="F45" s="5"/>
    </row>
    <row r="46" ht="15.75" customHeight="1">
      <c r="A46" s="6" t="s">
        <v>11</v>
      </c>
      <c r="B46" s="6" t="s">
        <v>89</v>
      </c>
      <c r="C46" s="6"/>
      <c r="D46" s="6"/>
      <c r="E46" s="6" t="s">
        <v>23</v>
      </c>
      <c r="F46" s="6" t="s">
        <v>26</v>
      </c>
    </row>
    <row r="47" ht="15.75" customHeight="1">
      <c r="A47" s="7" t="s">
        <v>239</v>
      </c>
      <c r="B47" s="13" t="str">
        <f>IFERROR((B6*(Unit_Economics!E5-Unit_Economics!E13-Unit_Economics!E15-Unit_Economics!E16)+B7*(Unit_Economics!F5-Unit_Economics!F13-Unit_Economics!F15-Unit_Economics!F16)+B8*(Unit_Economics!G5-Unit_Economics!G13-Unit_Economics!G15-Unit_Economics!G16))/B9,"")</f>
        <v/>
      </c>
      <c r="E47" s="11" t="s">
        <v>54</v>
      </c>
      <c r="F47" s="40" t="s">
        <v>243</v>
      </c>
    </row>
    <row r="48" ht="15.75" customHeight="1">
      <c r="A48" s="7" t="s">
        <v>244</v>
      </c>
      <c r="B48" s="47">
        <f>B9</f>
        <v>0</v>
      </c>
      <c r="E48" s="11" t="s">
        <v>245</v>
      </c>
      <c r="F48" s="40" t="s">
        <v>246</v>
      </c>
    </row>
    <row r="49" ht="15.75" customHeight="1">
      <c r="A49" s="7" t="s">
        <v>247</v>
      </c>
      <c r="B49" s="48" t="str">
        <f>IFERROR(ROUNDUP($B$33/$B$47,0),"")</f>
        <v/>
      </c>
      <c r="E49" s="11" t="s">
        <v>245</v>
      </c>
      <c r="F49" s="40" t="s">
        <v>249</v>
      </c>
    </row>
    <row r="50" ht="15.75" customHeight="1">
      <c r="A50" s="7" t="s">
        <v>250</v>
      </c>
      <c r="B50" s="48">
        <f>IFERROR(MAX(0,B49-B48),"")</f>
        <v>0</v>
      </c>
      <c r="E50" s="11" t="s">
        <v>245</v>
      </c>
      <c r="F50" s="40" t="s">
        <v>253</v>
      </c>
    </row>
    <row r="51" ht="15.75" customHeight="1">
      <c r="A51" s="7" t="s">
        <v>254</v>
      </c>
      <c r="B51" s="47">
        <f>IFERROR(MAX(0,B48-B49),"")</f>
        <v>0</v>
      </c>
      <c r="E51" s="11" t="s">
        <v>245</v>
      </c>
      <c r="F51" s="40" t="s">
        <v>255</v>
      </c>
    </row>
    <row r="52" ht="15.75" customHeight="1">
      <c r="A52" s="7" t="s">
        <v>256</v>
      </c>
      <c r="B52" s="49" t="str">
        <f>IF(B48=0,"Escribe cuantos clientes tienes arriba",IF(B42&gt;=0,"Por encima del equilibrio: la empresa gana dinero","Por debajo del equilibrio: cada mes se consume caja"))</f>
        <v>Escribe cuantos clientes tienes arriba</v>
      </c>
      <c r="E52" s="11"/>
      <c r="F52" s="40" t="s">
        <v>258</v>
      </c>
    </row>
    <row r="53" ht="15.75" customHeight="1"/>
    <row r="54" ht="15.75" customHeight="1">
      <c r="A54" s="40" t="s">
        <v>259</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5:F45"/>
    <mergeCell ref="A54:F56"/>
    <mergeCell ref="A1:F1"/>
    <mergeCell ref="A2:F2"/>
    <mergeCell ref="A4:F4"/>
    <mergeCell ref="A11:F11"/>
    <mergeCell ref="A22:F22"/>
    <mergeCell ref="A28:F28"/>
    <mergeCell ref="A35:F35"/>
  </mergeCells>
  <conditionalFormatting sqref="B42:E42">
    <cfRule type="cellIs" dxfId="0" priority="1" operator="lessThan">
      <formula>0</formula>
    </cfRule>
  </conditionalFormatting>
  <conditionalFormatting sqref="B42:E42">
    <cfRule type="cellIs" dxfId="1" priority="2" operator="greaterThanOrEqual">
      <formula>0</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34.0"/>
    <col customWidth="1" min="2" max="4" width="15.0"/>
    <col customWidth="1" min="5" max="5" width="18.0"/>
    <col customWidth="1" min="6" max="6" width="42.0"/>
    <col customWidth="1" min="7" max="26" width="8.71"/>
  </cols>
  <sheetData>
    <row r="1" ht="25.5" customHeight="1">
      <c r="A1" s="1" t="s">
        <v>1</v>
      </c>
    </row>
    <row r="2" ht="30.0" customHeight="1">
      <c r="A2" s="2" t="s">
        <v>7</v>
      </c>
    </row>
    <row r="4">
      <c r="A4" s="3" t="s">
        <v>10</v>
      </c>
      <c r="B4" s="4"/>
      <c r="C4" s="4"/>
      <c r="D4" s="4"/>
      <c r="E4" s="4"/>
      <c r="F4" s="5"/>
    </row>
    <row r="5">
      <c r="A5" s="6" t="s">
        <v>13</v>
      </c>
      <c r="B5" s="6" t="s">
        <v>16</v>
      </c>
      <c r="C5" s="6" t="s">
        <v>19</v>
      </c>
      <c r="D5" s="6" t="s">
        <v>22</v>
      </c>
      <c r="E5" s="6" t="s">
        <v>23</v>
      </c>
      <c r="F5" s="6" t="s">
        <v>29</v>
      </c>
    </row>
    <row r="6">
      <c r="A6" s="7" t="s">
        <v>31</v>
      </c>
      <c r="B6" s="9">
        <v>29.0</v>
      </c>
      <c r="C6" s="9">
        <v>39.0</v>
      </c>
      <c r="D6" s="9">
        <v>79.0</v>
      </c>
      <c r="E6" s="11" t="s">
        <v>34</v>
      </c>
      <c r="F6" s="11" t="s">
        <v>35</v>
      </c>
    </row>
    <row r="7">
      <c r="A7" s="7" t="s">
        <v>36</v>
      </c>
      <c r="B7" s="9">
        <v>29.0</v>
      </c>
      <c r="C7" s="9">
        <v>49.0</v>
      </c>
      <c r="D7" s="9">
        <v>99.0</v>
      </c>
      <c r="E7" s="11" t="s">
        <v>34</v>
      </c>
      <c r="F7" s="11" t="s">
        <v>37</v>
      </c>
    </row>
    <row r="8">
      <c r="A8" s="7" t="s">
        <v>38</v>
      </c>
      <c r="B8" s="15">
        <v>0.55</v>
      </c>
      <c r="C8" s="15">
        <v>0.35</v>
      </c>
      <c r="D8" s="15">
        <v>0.1</v>
      </c>
      <c r="E8" s="11" t="s">
        <v>44</v>
      </c>
      <c r="F8" s="11" t="s">
        <v>45</v>
      </c>
    </row>
    <row r="9">
      <c r="A9" s="7" t="s">
        <v>46</v>
      </c>
      <c r="B9" s="17">
        <v>75.0</v>
      </c>
      <c r="C9" s="17">
        <v>300.0</v>
      </c>
      <c r="D9" s="17">
        <v>1500.0</v>
      </c>
      <c r="E9" s="11" t="s">
        <v>47</v>
      </c>
      <c r="F9" s="11" t="s">
        <v>48</v>
      </c>
    </row>
    <row r="10">
      <c r="A10" s="7" t="s">
        <v>50</v>
      </c>
      <c r="B10" s="15">
        <v>0.35</v>
      </c>
      <c r="C10" s="15">
        <v>0.4</v>
      </c>
      <c r="D10" s="15">
        <v>0.25</v>
      </c>
      <c r="E10" s="11" t="s">
        <v>44</v>
      </c>
      <c r="F10" s="11" t="s">
        <v>52</v>
      </c>
    </row>
    <row r="11">
      <c r="A11" s="7" t="s">
        <v>53</v>
      </c>
      <c r="B11" s="15">
        <v>0.6</v>
      </c>
      <c r="C11" s="15">
        <v>0.6</v>
      </c>
      <c r="D11" s="15">
        <v>0.6</v>
      </c>
      <c r="E11" s="11" t="s">
        <v>44</v>
      </c>
      <c r="F11" s="11" t="s">
        <v>56</v>
      </c>
    </row>
    <row r="12">
      <c r="A12" s="7" t="s">
        <v>57</v>
      </c>
      <c r="B12" s="17">
        <v>30.0</v>
      </c>
      <c r="C12" s="17">
        <v>80.0</v>
      </c>
      <c r="D12" s="17">
        <v>200.0</v>
      </c>
      <c r="E12" s="11" t="s">
        <v>59</v>
      </c>
      <c r="F12" s="11" t="s">
        <v>60</v>
      </c>
    </row>
    <row r="13">
      <c r="A13" s="7" t="s">
        <v>61</v>
      </c>
      <c r="B13" s="17">
        <v>100.0</v>
      </c>
      <c r="C13" s="17">
        <v>300.0</v>
      </c>
      <c r="D13" s="17">
        <v>1000.0</v>
      </c>
      <c r="E13" s="11" t="s">
        <v>59</v>
      </c>
      <c r="F13" s="11" t="s">
        <v>62</v>
      </c>
    </row>
    <row r="14">
      <c r="A14" s="7" t="s">
        <v>64</v>
      </c>
      <c r="B14" s="17">
        <v>15.0</v>
      </c>
      <c r="C14" s="17">
        <v>60.0</v>
      </c>
      <c r="D14" s="17">
        <v>200.0</v>
      </c>
      <c r="E14" s="11" t="s">
        <v>67</v>
      </c>
      <c r="F14" s="11" t="s">
        <v>60</v>
      </c>
    </row>
    <row r="15">
      <c r="A15" s="7" t="s">
        <v>68</v>
      </c>
      <c r="B15" s="17">
        <v>15.0</v>
      </c>
      <c r="C15" s="17">
        <v>50.0</v>
      </c>
      <c r="D15" s="17">
        <v>200.0</v>
      </c>
      <c r="E15" s="11" t="s">
        <v>71</v>
      </c>
      <c r="F15" s="11" t="s">
        <v>60</v>
      </c>
    </row>
    <row r="16">
      <c r="A16" s="7" t="s">
        <v>72</v>
      </c>
      <c r="B16" s="15">
        <v>0.2</v>
      </c>
      <c r="C16" s="15">
        <v>0.2</v>
      </c>
      <c r="D16" s="15">
        <v>0.2</v>
      </c>
      <c r="E16" s="11" t="s">
        <v>44</v>
      </c>
      <c r="F16" s="11" t="s">
        <v>75</v>
      </c>
    </row>
    <row r="17">
      <c r="A17" s="7" t="s">
        <v>77</v>
      </c>
      <c r="B17" s="21">
        <v>0.25</v>
      </c>
      <c r="C17" s="21">
        <v>1.0</v>
      </c>
      <c r="D17" s="21">
        <v>3.0</v>
      </c>
      <c r="E17" s="11" t="s">
        <v>81</v>
      </c>
      <c r="F17" s="11" t="s">
        <v>60</v>
      </c>
    </row>
    <row r="18">
      <c r="A18" s="7" t="s">
        <v>82</v>
      </c>
      <c r="B18" s="17">
        <v>0.0</v>
      </c>
      <c r="C18" s="17">
        <v>0.0</v>
      </c>
      <c r="D18" s="17">
        <v>100.0</v>
      </c>
      <c r="E18" s="11" t="s">
        <v>67</v>
      </c>
      <c r="F18" s="11" t="s">
        <v>87</v>
      </c>
    </row>
    <row r="19">
      <c r="A19" s="7" t="s">
        <v>88</v>
      </c>
      <c r="B19" s="17">
        <v>12.0</v>
      </c>
      <c r="C19" s="17">
        <v>20.0</v>
      </c>
      <c r="D19" s="17">
        <v>45.0</v>
      </c>
      <c r="E19" s="11" t="s">
        <v>90</v>
      </c>
      <c r="F19" s="11" t="s">
        <v>91</v>
      </c>
    </row>
    <row r="20">
      <c r="A20" s="7" t="s">
        <v>93</v>
      </c>
      <c r="B20" s="17">
        <v>30.0</v>
      </c>
      <c r="C20" s="17">
        <v>60.0</v>
      </c>
      <c r="D20" s="17">
        <v>120.0</v>
      </c>
      <c r="E20" s="11" t="s">
        <v>94</v>
      </c>
      <c r="F20" s="11" t="s">
        <v>95</v>
      </c>
    </row>
    <row r="21" ht="15.75" customHeight="1"/>
    <row r="22" ht="15.75" customHeight="1"/>
    <row r="23" ht="15.75" customHeight="1">
      <c r="A23" s="3" t="s">
        <v>97</v>
      </c>
      <c r="B23" s="4"/>
      <c r="C23" s="4"/>
      <c r="D23" s="4"/>
      <c r="E23" s="4"/>
      <c r="F23" s="5"/>
    </row>
    <row r="24" ht="15.75" customHeight="1">
      <c r="A24" s="6" t="s">
        <v>13</v>
      </c>
      <c r="B24" s="6" t="s">
        <v>89</v>
      </c>
      <c r="C24" s="6" t="s">
        <v>23</v>
      </c>
      <c r="D24" s="6" t="s">
        <v>102</v>
      </c>
      <c r="E24" s="6" t="s">
        <v>103</v>
      </c>
      <c r="F24" s="6" t="s">
        <v>26</v>
      </c>
    </row>
    <row r="25" ht="15.75" customHeight="1">
      <c r="A25" s="7" t="s">
        <v>106</v>
      </c>
      <c r="B25" s="24">
        <v>0.8768084173608066</v>
      </c>
      <c r="C25" s="11" t="s">
        <v>107</v>
      </c>
      <c r="D25" s="11" t="s">
        <v>108</v>
      </c>
      <c r="E25" s="11" t="s">
        <v>109</v>
      </c>
      <c r="F25" s="11" t="s">
        <v>110</v>
      </c>
    </row>
    <row r="26" ht="15.75" customHeight="1">
      <c r="A26" s="7" t="s">
        <v>111</v>
      </c>
      <c r="B26" s="26">
        <v>0.015</v>
      </c>
      <c r="C26" s="11" t="s">
        <v>113</v>
      </c>
      <c r="D26" s="11" t="s">
        <v>115</v>
      </c>
      <c r="E26" s="11" t="s">
        <v>55</v>
      </c>
      <c r="F26" s="11" t="s">
        <v>117</v>
      </c>
    </row>
    <row r="27" ht="15.75" customHeight="1">
      <c r="A27" s="7" t="s">
        <v>118</v>
      </c>
      <c r="B27" s="26">
        <v>0.007</v>
      </c>
      <c r="C27" s="11" t="s">
        <v>113</v>
      </c>
      <c r="D27" s="11" t="s">
        <v>115</v>
      </c>
      <c r="E27" s="11" t="s">
        <v>55</v>
      </c>
      <c r="F27" s="11" t="s">
        <v>119</v>
      </c>
    </row>
    <row r="28" ht="15.75" customHeight="1">
      <c r="A28" s="7" t="s">
        <v>120</v>
      </c>
      <c r="B28" s="9">
        <v>0.25</v>
      </c>
      <c r="C28" s="11" t="s">
        <v>122</v>
      </c>
      <c r="D28" s="11" t="s">
        <v>115</v>
      </c>
      <c r="E28" s="11" t="s">
        <v>55</v>
      </c>
      <c r="F28" s="11" t="s">
        <v>123</v>
      </c>
    </row>
    <row r="29" ht="15.75" customHeight="1">
      <c r="A29" s="7" t="s">
        <v>124</v>
      </c>
      <c r="B29" s="24">
        <v>0.0166</v>
      </c>
      <c r="C29" s="11" t="s">
        <v>127</v>
      </c>
      <c r="D29" s="11" t="s">
        <v>115</v>
      </c>
      <c r="E29" s="11" t="s">
        <v>128</v>
      </c>
      <c r="F29" s="11" t="s">
        <v>130</v>
      </c>
    </row>
    <row r="30" ht="15.75" customHeight="1">
      <c r="A30" s="7" t="s">
        <v>131</v>
      </c>
      <c r="B30" s="24">
        <v>0.0166</v>
      </c>
      <c r="C30" s="11" t="s">
        <v>127</v>
      </c>
      <c r="D30" s="11" t="s">
        <v>115</v>
      </c>
      <c r="E30" s="11" t="s">
        <v>132</v>
      </c>
      <c r="F30" s="11" t="s">
        <v>133</v>
      </c>
    </row>
    <row r="31" ht="15.75" customHeight="1">
      <c r="A31" s="7" t="s">
        <v>134</v>
      </c>
      <c r="B31" s="24">
        <v>0.014</v>
      </c>
      <c r="C31" s="11" t="s">
        <v>136</v>
      </c>
      <c r="D31" s="11" t="s">
        <v>115</v>
      </c>
      <c r="E31" s="11" t="s">
        <v>137</v>
      </c>
      <c r="F31" s="11" t="s">
        <v>138</v>
      </c>
    </row>
    <row r="32" ht="15.75" customHeight="1">
      <c r="A32" s="7" t="s">
        <v>140</v>
      </c>
      <c r="B32" s="30">
        <v>0.003028</v>
      </c>
      <c r="C32" s="11" t="s">
        <v>136</v>
      </c>
      <c r="D32" s="11" t="s">
        <v>115</v>
      </c>
      <c r="E32" s="11" t="s">
        <v>141</v>
      </c>
      <c r="F32" s="11" t="s">
        <v>142</v>
      </c>
    </row>
    <row r="33" ht="15.75" customHeight="1">
      <c r="A33" s="7" t="s">
        <v>143</v>
      </c>
      <c r="B33" s="31">
        <v>0.8</v>
      </c>
      <c r="C33" s="11" t="s">
        <v>44</v>
      </c>
      <c r="D33" s="11" t="s">
        <v>115</v>
      </c>
      <c r="E33" s="11" t="s">
        <v>144</v>
      </c>
      <c r="F33" s="11" t="s">
        <v>145</v>
      </c>
    </row>
    <row r="34" ht="15.75" customHeight="1">
      <c r="A34" s="7" t="s">
        <v>146</v>
      </c>
      <c r="B34" s="32">
        <v>0.04</v>
      </c>
      <c r="C34" s="11" t="s">
        <v>147</v>
      </c>
      <c r="D34" s="11" t="s">
        <v>115</v>
      </c>
      <c r="E34" s="11" t="s">
        <v>141</v>
      </c>
      <c r="F34" s="11" t="s">
        <v>148</v>
      </c>
    </row>
    <row r="35" ht="15.75" customHeight="1">
      <c r="A35" s="7" t="s">
        <v>149</v>
      </c>
      <c r="B35" s="32">
        <v>0.012</v>
      </c>
      <c r="C35" s="11" t="s">
        <v>150</v>
      </c>
      <c r="D35" s="11" t="s">
        <v>115</v>
      </c>
      <c r="E35" s="11" t="s">
        <v>151</v>
      </c>
      <c r="F35" s="11" t="s">
        <v>153</v>
      </c>
    </row>
    <row r="36" ht="15.75" customHeight="1">
      <c r="A36" s="7" t="s">
        <v>154</v>
      </c>
      <c r="B36" s="32">
        <v>0.015</v>
      </c>
      <c r="C36" s="11" t="s">
        <v>155</v>
      </c>
      <c r="D36" s="11" t="s">
        <v>115</v>
      </c>
      <c r="E36" s="11" t="s">
        <v>156</v>
      </c>
      <c r="F36" s="11" t="s">
        <v>157</v>
      </c>
    </row>
    <row r="37" ht="15.75" customHeight="1">
      <c r="A37" s="7" t="s">
        <v>159</v>
      </c>
      <c r="B37" s="33">
        <v>0.11</v>
      </c>
      <c r="C37" s="11" t="s">
        <v>160</v>
      </c>
      <c r="D37" s="11" t="s">
        <v>115</v>
      </c>
      <c r="E37" s="11" t="s">
        <v>161</v>
      </c>
      <c r="F37" s="11" t="s">
        <v>162</v>
      </c>
    </row>
    <row r="38" ht="15.75" customHeight="1">
      <c r="A38" s="7" t="s">
        <v>163</v>
      </c>
      <c r="B38" s="33">
        <v>2.0</v>
      </c>
      <c r="C38" s="11" t="s">
        <v>164</v>
      </c>
      <c r="D38" s="11" t="s">
        <v>115</v>
      </c>
      <c r="E38" s="11" t="s">
        <v>161</v>
      </c>
      <c r="F38" s="11" t="s">
        <v>166</v>
      </c>
    </row>
    <row r="39" ht="15.75" customHeight="1">
      <c r="A39" s="7" t="s">
        <v>167</v>
      </c>
      <c r="B39" s="9">
        <v>25.0</v>
      </c>
      <c r="C39" s="11" t="s">
        <v>168</v>
      </c>
      <c r="D39" s="11" t="s">
        <v>115</v>
      </c>
      <c r="E39" s="11" t="s">
        <v>151</v>
      </c>
      <c r="F39" s="11" t="s">
        <v>169</v>
      </c>
    </row>
    <row r="40" ht="15.75" customHeight="1">
      <c r="A40" s="7" t="s">
        <v>170</v>
      </c>
      <c r="B40" s="35">
        <v>7.0</v>
      </c>
      <c r="C40" s="11" t="s">
        <v>54</v>
      </c>
      <c r="D40" s="11" t="s">
        <v>115</v>
      </c>
      <c r="E40" s="11" t="s">
        <v>151</v>
      </c>
      <c r="F40" s="11" t="s">
        <v>171</v>
      </c>
    </row>
    <row r="41" ht="15.75" customHeight="1">
      <c r="A41" s="7" t="s">
        <v>172</v>
      </c>
      <c r="B41" s="36">
        <v>500.0</v>
      </c>
      <c r="C41" s="11" t="s">
        <v>54</v>
      </c>
      <c r="D41" s="11" t="s">
        <v>115</v>
      </c>
      <c r="E41" s="37" t="s">
        <v>173</v>
      </c>
      <c r="F41" s="11" t="s">
        <v>175</v>
      </c>
    </row>
    <row r="42" ht="15.75" customHeight="1">
      <c r="A42" s="7" t="s">
        <v>176</v>
      </c>
      <c r="B42" s="38">
        <v>150.0</v>
      </c>
      <c r="C42" s="11" t="s">
        <v>177</v>
      </c>
      <c r="D42" s="11" t="s">
        <v>115</v>
      </c>
      <c r="E42" s="37" t="s">
        <v>173</v>
      </c>
      <c r="F42" s="11" t="s">
        <v>178</v>
      </c>
    </row>
    <row r="43" ht="15.75" customHeight="1">
      <c r="A43" s="7" t="s">
        <v>179</v>
      </c>
      <c r="B43" s="31">
        <v>0.21</v>
      </c>
      <c r="C43" s="11" t="s">
        <v>44</v>
      </c>
      <c r="D43" s="11" t="s">
        <v>115</v>
      </c>
      <c r="E43" s="11" t="s">
        <v>180</v>
      </c>
      <c r="F43" s="11" t="s">
        <v>181</v>
      </c>
    </row>
    <row r="44" ht="15.75" customHeight="1">
      <c r="A44" s="7" t="s">
        <v>182</v>
      </c>
      <c r="B44" s="17">
        <v>100.0</v>
      </c>
      <c r="C44" s="11" t="s">
        <v>112</v>
      </c>
      <c r="D44" s="11" t="s">
        <v>115</v>
      </c>
      <c r="E44" s="11" t="s">
        <v>183</v>
      </c>
      <c r="F44" s="11" t="s">
        <v>184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4:F4"/>
    <mergeCell ref="A23:F2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4.0"/>
    <col customWidth="1" min="2" max="7" width="14.0"/>
    <col customWidth="1" min="8" max="8" width="12.0"/>
    <col customWidth="1" min="9" max="26" width="8.71"/>
  </cols>
  <sheetData>
    <row r="1" ht="25.5" customHeight="1">
      <c r="A1" s="1" t="s">
        <v>2</v>
      </c>
    </row>
    <row r="2" ht="30.0" customHeight="1">
      <c r="A2" s="2" t="s">
        <v>6</v>
      </c>
    </row>
    <row r="4">
      <c r="A4" s="6" t="s">
        <v>11</v>
      </c>
      <c r="B4" s="6" t="s">
        <v>17</v>
      </c>
      <c r="C4" s="6" t="s">
        <v>20</v>
      </c>
      <c r="D4" s="6" t="s">
        <v>25</v>
      </c>
      <c r="E4" s="6" t="s">
        <v>27</v>
      </c>
      <c r="F4" s="6" t="s">
        <v>30</v>
      </c>
      <c r="G4" s="6" t="s">
        <v>32</v>
      </c>
      <c r="H4" s="6" t="s">
        <v>23</v>
      </c>
    </row>
    <row r="5">
      <c r="A5" s="7" t="s">
        <v>33</v>
      </c>
      <c r="B5" s="13">
        <f>Supuestos!B$6</f>
        <v>29</v>
      </c>
      <c r="C5" s="13">
        <f>Supuestos!C$6</f>
        <v>39</v>
      </c>
      <c r="D5" s="13">
        <f>Supuestos!D$6</f>
        <v>79</v>
      </c>
      <c r="E5" s="13">
        <f>Supuestos!B$7</f>
        <v>29</v>
      </c>
      <c r="F5" s="13">
        <f>Supuestos!C$7</f>
        <v>49</v>
      </c>
      <c r="G5" s="13">
        <f>Supuestos!D$7</f>
        <v>99</v>
      </c>
      <c r="H5" s="11" t="s">
        <v>54</v>
      </c>
    </row>
    <row r="6">
      <c r="A6" s="7" t="s">
        <v>55</v>
      </c>
      <c r="B6" s="13">
        <f>B5*(Supuestos!$B$26+Supuestos!$B$27)+Supuestos!$B$28</f>
        <v>0.888</v>
      </c>
      <c r="C6" s="13">
        <f>C5*(Supuestos!$B$26+Supuestos!$B$27)+Supuestos!$B$28</f>
        <v>1.108</v>
      </c>
      <c r="D6" s="13">
        <f>D5*(Supuestos!$B$26+Supuestos!$B$27)+Supuestos!$B$28</f>
        <v>1.988</v>
      </c>
      <c r="E6" s="13">
        <f>E5*(Supuestos!$B$26+Supuestos!$B$27)+Supuestos!$B$28</f>
        <v>0.888</v>
      </c>
      <c r="F6" s="13">
        <f>F5*(Supuestos!$B$26+Supuestos!$B$27)+Supuestos!$B$28</f>
        <v>1.328</v>
      </c>
      <c r="G6" s="13">
        <f>G5*(Supuestos!$B$26+Supuestos!$B$27)+Supuestos!$B$28</f>
        <v>2.428</v>
      </c>
      <c r="H6" s="11" t="s">
        <v>54</v>
      </c>
    </row>
    <row r="7">
      <c r="A7" s="7" t="s">
        <v>79</v>
      </c>
      <c r="B7" s="13">
        <f>Supuestos!B$12*Supuestos!$B$29</f>
        <v>0.498</v>
      </c>
      <c r="C7" s="13">
        <f>Supuestos!C$12*Supuestos!$B$29</f>
        <v>1.328</v>
      </c>
      <c r="D7" s="13">
        <f>Supuestos!D$12*Supuestos!$B$29</f>
        <v>3.32</v>
      </c>
      <c r="E7" s="13">
        <f>Supuestos!B$12*Supuestos!$B$29</f>
        <v>0.498</v>
      </c>
      <c r="F7" s="13">
        <f>Supuestos!C$12*Supuestos!$B$29</f>
        <v>1.328</v>
      </c>
      <c r="G7" s="13">
        <f>Supuestos!D$12*Supuestos!$B$29</f>
        <v>3.32</v>
      </c>
      <c r="H7" s="11" t="s">
        <v>54</v>
      </c>
    </row>
    <row r="8">
      <c r="A8" s="7" t="s">
        <v>96</v>
      </c>
      <c r="B8" s="13">
        <f>Supuestos!B$9*Supuestos!B$10*(1-Supuestos!B$11)*(Supuestos!$B$33*Supuestos!$B$32+(1-Supuestos!$B$33)*Supuestos!$B$31)*Supuestos!$B$25</f>
        <v>0.04807996493</v>
      </c>
      <c r="C8" s="13">
        <f>Supuestos!C$9*Supuestos!C$10*(1-Supuestos!C$11)*(Supuestos!$B$33*Supuestos!$B$32+(1-Supuestos!$B$33)*Supuestos!$B$31)*Supuestos!$B$25</f>
        <v>0.2197941254</v>
      </c>
      <c r="D8" s="13">
        <f>Supuestos!D$9*Supuestos!D$10*(1-Supuestos!D$11)*(Supuestos!$B$33*Supuestos!$B$32+(1-Supuestos!$B$33)*Supuestos!$B$31)*Supuestos!$B$25</f>
        <v>0.6868566418</v>
      </c>
      <c r="E8" s="13">
        <f>Supuestos!B$9*Supuestos!B$10*(1-Supuestos!B$11)*(Supuestos!$B$33*Supuestos!$B$32+(1-Supuestos!$B$33)*Supuestos!$B$31)*Supuestos!$B$25</f>
        <v>0.04807996493</v>
      </c>
      <c r="F8" s="13">
        <f>Supuestos!C$9*Supuestos!C$10*(1-Supuestos!C$11)*(Supuestos!$B$33*Supuestos!$B$32+(1-Supuestos!$B$33)*Supuestos!$B$31)*Supuestos!$B$25</f>
        <v>0.2197941254</v>
      </c>
      <c r="G8" s="13">
        <f>Supuestos!D$9*Supuestos!D$10*(1-Supuestos!D$11)*(Supuestos!$B$33*Supuestos!$B$32+(1-Supuestos!$B$33)*Supuestos!$B$31)*Supuestos!$B$25</f>
        <v>0.6868566418</v>
      </c>
      <c r="H8" s="11" t="s">
        <v>54</v>
      </c>
    </row>
    <row r="9">
      <c r="A9" s="7" t="s">
        <v>139</v>
      </c>
      <c r="B9" s="13">
        <f>Supuestos!B$14/60*Supuestos!$B$34*Supuestos!$B$25</f>
        <v>0.008768084174</v>
      </c>
      <c r="C9" s="13">
        <f>Supuestos!C$14/60*Supuestos!$B$34*Supuestos!$B$25</f>
        <v>0.03507233669</v>
      </c>
      <c r="D9" s="13">
        <f>Supuestos!D$14/60*Supuestos!$B$34*Supuestos!$B$25</f>
        <v>0.116907789</v>
      </c>
      <c r="E9" s="13">
        <f>Supuestos!B$14/60*Supuestos!$B$34*Supuestos!$B$25</f>
        <v>0.008768084174</v>
      </c>
      <c r="F9" s="13">
        <f>Supuestos!C$14/60*Supuestos!$B$34*Supuestos!$B$25</f>
        <v>0.03507233669</v>
      </c>
      <c r="G9" s="13">
        <f>Supuestos!D$14/60*Supuestos!$B$34*Supuestos!$B$25</f>
        <v>0.116907789</v>
      </c>
      <c r="H9" s="11" t="s">
        <v>54</v>
      </c>
    </row>
    <row r="10">
      <c r="A10" s="7" t="s">
        <v>158</v>
      </c>
      <c r="B10" s="13">
        <f>Supuestos!B$15*Supuestos!B$16*Supuestos!$B$35</f>
        <v>0.036</v>
      </c>
      <c r="C10" s="13">
        <f>Supuestos!C$15*Supuestos!C$16*Supuestos!$B$35</f>
        <v>0.12</v>
      </c>
      <c r="D10" s="13">
        <f>Supuestos!D$15*Supuestos!D$16*Supuestos!$B$35</f>
        <v>0.48</v>
      </c>
      <c r="E10" s="13">
        <f>Supuestos!B$15*Supuestos!B$16*Supuestos!$B$35</f>
        <v>0.036</v>
      </c>
      <c r="F10" s="13">
        <f>Supuestos!C$15*Supuestos!C$16*Supuestos!$B$35</f>
        <v>0.12</v>
      </c>
      <c r="G10" s="13">
        <f>Supuestos!D$15*Supuestos!D$16*Supuestos!$B$35</f>
        <v>0.48</v>
      </c>
      <c r="H10" s="11" t="s">
        <v>54</v>
      </c>
    </row>
    <row r="11">
      <c r="A11" s="7" t="s">
        <v>77</v>
      </c>
      <c r="B11" s="13">
        <f>Supuestos!B$17*Supuestos!$B$36*Supuestos!$B$25</f>
        <v>0.003288031565</v>
      </c>
      <c r="C11" s="13">
        <f>Supuestos!C$17*Supuestos!$B$36*Supuestos!$B$25</f>
        <v>0.01315212626</v>
      </c>
      <c r="D11" s="13">
        <f>Supuestos!D$17*Supuestos!$B$36*Supuestos!$B$25</f>
        <v>0.03945637878</v>
      </c>
      <c r="E11" s="13">
        <f>Supuestos!B$17*Supuestos!$B$36*Supuestos!$B$25</f>
        <v>0.003288031565</v>
      </c>
      <c r="F11" s="13">
        <f>Supuestos!C$17*Supuestos!$B$36*Supuestos!$B$25</f>
        <v>0.01315212626</v>
      </c>
      <c r="G11" s="13">
        <f>Supuestos!D$17*Supuestos!$B$36*Supuestos!$B$25</f>
        <v>0.03945637878</v>
      </c>
      <c r="H11" s="11" t="s">
        <v>54</v>
      </c>
    </row>
    <row r="12">
      <c r="A12" s="7" t="s">
        <v>185</v>
      </c>
      <c r="B12" s="13">
        <f>IF(Supuestos!B$18&gt;0,Supuestos!B$18*Supuestos!$B$37*Supuestos!$B$25+Supuestos!$B$38*Supuestos!$B$25,0)</f>
        <v>0</v>
      </c>
      <c r="C12" s="13">
        <f>IF(Supuestos!C$18&gt;0,Supuestos!C$18*Supuestos!$B$37*Supuestos!$B$25+Supuestos!$B$38*Supuestos!$B$25,0)</f>
        <v>0</v>
      </c>
      <c r="D12" s="13">
        <f>IF(Supuestos!D$18&gt;0,Supuestos!D$18*Supuestos!$B$37*Supuestos!$B$25+Supuestos!$B$38*Supuestos!$B$25,0)</f>
        <v>11.39850943</v>
      </c>
      <c r="E12" s="13">
        <f>IF(Supuestos!B$18&gt;0,Supuestos!B$18*Supuestos!$B$37*Supuestos!$B$25+Supuestos!$B$38*Supuestos!$B$25,0)</f>
        <v>0</v>
      </c>
      <c r="F12" s="13">
        <f>IF(Supuestos!C$18&gt;0,Supuestos!C$18*Supuestos!$B$37*Supuestos!$B$25+Supuestos!$B$38*Supuestos!$B$25,0)</f>
        <v>0</v>
      </c>
      <c r="G12" s="13">
        <f>IF(Supuestos!D$18&gt;0,Supuestos!D$18*Supuestos!$B$37*Supuestos!$B$25+Supuestos!$B$38*Supuestos!$B$25,0)</f>
        <v>11.39850943</v>
      </c>
      <c r="H12" s="11" t="s">
        <v>54</v>
      </c>
    </row>
    <row r="13">
      <c r="A13" s="7" t="s">
        <v>58</v>
      </c>
      <c r="B13" s="34">
        <f t="shared" ref="B13:G13" si="1">SUM(B6:B12)</f>
        <v>1.482136081</v>
      </c>
      <c r="C13" s="34">
        <f t="shared" si="1"/>
        <v>2.824018588</v>
      </c>
      <c r="D13" s="34">
        <f t="shared" si="1"/>
        <v>18.02973024</v>
      </c>
      <c r="E13" s="34">
        <f t="shared" si="1"/>
        <v>1.482136081</v>
      </c>
      <c r="F13" s="34">
        <f t="shared" si="1"/>
        <v>3.044018588</v>
      </c>
      <c r="G13" s="34">
        <f t="shared" si="1"/>
        <v>18.46973024</v>
      </c>
      <c r="H13" s="11" t="s">
        <v>54</v>
      </c>
    </row>
    <row r="14">
      <c r="A14" s="7" t="s">
        <v>194</v>
      </c>
      <c r="B14" s="39">
        <f t="shared" ref="B14:G14" si="2">(B5-B13)/B5</f>
        <v>0.9488918593</v>
      </c>
      <c r="C14" s="39">
        <f t="shared" si="2"/>
        <v>0.927589267</v>
      </c>
      <c r="D14" s="39">
        <f t="shared" si="2"/>
        <v>0.7717755666</v>
      </c>
      <c r="E14" s="39">
        <f t="shared" si="2"/>
        <v>0.9488918593</v>
      </c>
      <c r="F14" s="39">
        <f t="shared" si="2"/>
        <v>0.9378771717</v>
      </c>
      <c r="G14" s="39">
        <f t="shared" si="2"/>
        <v>0.8134370683</v>
      </c>
      <c r="H14" s="11" t="s">
        <v>44</v>
      </c>
    </row>
    <row r="15">
      <c r="A15" s="7" t="s">
        <v>88</v>
      </c>
      <c r="B15" s="13">
        <f>Supuestos!B$19/60*Supuestos!$B$39</f>
        <v>5</v>
      </c>
      <c r="C15" s="13">
        <f>Supuestos!C$19/60*Supuestos!$B$39</f>
        <v>8.333333333</v>
      </c>
      <c r="D15" s="13">
        <f>Supuestos!D$19/60*Supuestos!$B$39</f>
        <v>18.75</v>
      </c>
      <c r="E15" s="13">
        <f>Supuestos!B$19/60*Supuestos!$B$39</f>
        <v>5</v>
      </c>
      <c r="F15" s="13">
        <f>Supuestos!C$19/60*Supuestos!$B$39</f>
        <v>8.333333333</v>
      </c>
      <c r="G15" s="13">
        <f>Supuestos!D$19/60*Supuestos!$B$39</f>
        <v>18.75</v>
      </c>
      <c r="H15" s="11" t="s">
        <v>54</v>
      </c>
    </row>
    <row r="16">
      <c r="A16" s="7" t="s">
        <v>186</v>
      </c>
      <c r="B16" s="13">
        <f>Supuestos!B$20/60*Supuestos!$B$39/12</f>
        <v>1.041666667</v>
      </c>
      <c r="C16" s="13">
        <f>Supuestos!C$20/60*Supuestos!$B$39/12</f>
        <v>2.083333333</v>
      </c>
      <c r="D16" s="13">
        <f>Supuestos!D$20/60*Supuestos!$B$39/12</f>
        <v>4.166666667</v>
      </c>
      <c r="E16" s="13">
        <f>Supuestos!B$20/60*Supuestos!$B$39/12</f>
        <v>1.041666667</v>
      </c>
      <c r="F16" s="13">
        <f>Supuestos!C$20/60*Supuestos!$B$39/12</f>
        <v>2.083333333</v>
      </c>
      <c r="G16" s="13">
        <f>Supuestos!D$20/60*Supuestos!$B$39/12</f>
        <v>4.166666667</v>
      </c>
      <c r="H16" s="11" t="s">
        <v>54</v>
      </c>
    </row>
    <row r="17">
      <c r="A17" s="7" t="s">
        <v>228</v>
      </c>
      <c r="B17" s="13">
        <f>Supuestos!$B$40/Supuestos!$B$44</f>
        <v>0.07</v>
      </c>
      <c r="C17" s="13">
        <f>Supuestos!$B$40/Supuestos!$B$44</f>
        <v>0.07</v>
      </c>
      <c r="D17" s="13">
        <f>Supuestos!$B$40/Supuestos!$B$44</f>
        <v>0.07</v>
      </c>
      <c r="E17" s="13">
        <f>Supuestos!$B$40/Supuestos!$B$44</f>
        <v>0.07</v>
      </c>
      <c r="F17" s="13">
        <f>Supuestos!$B$40/Supuestos!$B$44</f>
        <v>0.07</v>
      </c>
      <c r="G17" s="13">
        <f>Supuestos!$B$40/Supuestos!$B$44</f>
        <v>0.07</v>
      </c>
      <c r="H17" s="11" t="s">
        <v>54</v>
      </c>
    </row>
    <row r="18">
      <c r="A18" s="7" t="s">
        <v>70</v>
      </c>
      <c r="B18" s="34">
        <f t="shared" ref="B18:G18" si="3">B5-B13-B15-B16-B17</f>
        <v>21.40619725</v>
      </c>
      <c r="C18" s="34">
        <f t="shared" si="3"/>
        <v>25.68931474</v>
      </c>
      <c r="D18" s="34">
        <f t="shared" si="3"/>
        <v>37.9836031</v>
      </c>
      <c r="E18" s="34">
        <f t="shared" si="3"/>
        <v>21.40619725</v>
      </c>
      <c r="F18" s="34">
        <f t="shared" si="3"/>
        <v>35.46931474</v>
      </c>
      <c r="G18" s="34">
        <f t="shared" si="3"/>
        <v>57.5436031</v>
      </c>
      <c r="H18" s="11" t="s">
        <v>54</v>
      </c>
    </row>
    <row r="19">
      <c r="A19" s="7" t="s">
        <v>74</v>
      </c>
      <c r="B19" s="39">
        <f t="shared" ref="B19:G19" si="4">B18/B5</f>
        <v>0.7381447329</v>
      </c>
      <c r="C19" s="39">
        <f t="shared" si="4"/>
        <v>0.6587003781</v>
      </c>
      <c r="D19" s="39">
        <f t="shared" si="4"/>
        <v>0.4808051025</v>
      </c>
      <c r="E19" s="39">
        <f t="shared" si="4"/>
        <v>0.7381447329</v>
      </c>
      <c r="F19" s="39">
        <f t="shared" si="4"/>
        <v>0.7238635662</v>
      </c>
      <c r="G19" s="39">
        <f t="shared" si="4"/>
        <v>0.5812485161</v>
      </c>
      <c r="H19" s="11" t="s">
        <v>44</v>
      </c>
    </row>
    <row r="20">
      <c r="A20" s="7" t="s">
        <v>241</v>
      </c>
      <c r="B20" s="13">
        <f>B5/(1+Supuestos!$B$43)</f>
        <v>23.96694215</v>
      </c>
      <c r="C20" s="13">
        <f>C5/(1+Supuestos!$B$43)</f>
        <v>32.23140496</v>
      </c>
      <c r="D20" s="13">
        <f>D5/(1+Supuestos!$B$43)</f>
        <v>65.2892562</v>
      </c>
      <c r="E20" s="13">
        <f>E5/(1+Supuestos!$B$43)</f>
        <v>23.96694215</v>
      </c>
      <c r="F20" s="13">
        <f>F5/(1+Supuestos!$B$43)</f>
        <v>40.49586777</v>
      </c>
      <c r="G20" s="13">
        <f>G5/(1+Supuestos!$B$43)</f>
        <v>81.81818182</v>
      </c>
      <c r="H20" s="11" t="s">
        <v>54</v>
      </c>
    </row>
    <row r="21" ht="15.75" customHeight="1">
      <c r="A21" s="7" t="s">
        <v>248</v>
      </c>
      <c r="B21" s="13">
        <f t="shared" ref="B21:G21" si="5">B20-B13-B15-B16-B17</f>
        <v>16.3731394</v>
      </c>
      <c r="C21" s="13">
        <f t="shared" si="5"/>
        <v>18.9207197</v>
      </c>
      <c r="D21" s="13">
        <f t="shared" si="5"/>
        <v>24.2728593</v>
      </c>
      <c r="E21" s="13">
        <f t="shared" si="5"/>
        <v>16.3731394</v>
      </c>
      <c r="F21" s="13">
        <f t="shared" si="5"/>
        <v>26.96518251</v>
      </c>
      <c r="G21" s="13">
        <f t="shared" si="5"/>
        <v>40.36178492</v>
      </c>
      <c r="H21" s="11" t="s">
        <v>54</v>
      </c>
    </row>
    <row r="22" ht="15.75" customHeight="1">
      <c r="A22" s="7" t="s">
        <v>252</v>
      </c>
      <c r="B22" s="13">
        <f>Supuestos!B$9*Supuestos!$B$31*Supuestos!$B$25</f>
        <v>0.9206488382</v>
      </c>
      <c r="C22" s="13">
        <f>Supuestos!C$9*Supuestos!$B$31*Supuestos!$B$25</f>
        <v>3.682595353</v>
      </c>
      <c r="D22" s="13">
        <f>Supuestos!D$9*Supuestos!$B$31*Supuestos!$B$25</f>
        <v>18.41297676</v>
      </c>
      <c r="E22" s="13">
        <f>Supuestos!B$9*Supuestos!$B$31*Supuestos!$B$25</f>
        <v>0.9206488382</v>
      </c>
      <c r="F22" s="13">
        <f>Supuestos!C$9*Supuestos!$B$31*Supuestos!$B$25</f>
        <v>3.682595353</v>
      </c>
      <c r="G22" s="13">
        <f>Supuestos!D$9*Supuestos!$B$31*Supuestos!$B$25</f>
        <v>18.41297676</v>
      </c>
      <c r="H22" s="11" t="s">
        <v>54</v>
      </c>
    </row>
    <row r="23" ht="15.75" customHeight="1">
      <c r="A23" s="7" t="s">
        <v>261</v>
      </c>
      <c r="B23" s="50">
        <f t="shared" ref="B23:G23" si="6">(B5-(B13-B8+B22))/B5</f>
        <v>0.9188032774</v>
      </c>
      <c r="C23" s="50">
        <f t="shared" si="6"/>
        <v>0.8387994919</v>
      </c>
      <c r="D23" s="50">
        <f t="shared" si="6"/>
        <v>0.5473942993</v>
      </c>
      <c r="E23" s="50">
        <f t="shared" si="6"/>
        <v>0.9188032774</v>
      </c>
      <c r="F23" s="50">
        <f t="shared" si="6"/>
        <v>0.8672077589</v>
      </c>
      <c r="G23" s="50">
        <f t="shared" si="6"/>
        <v>0.6343853499</v>
      </c>
      <c r="H23" s="11" t="s">
        <v>44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32.0"/>
    <col customWidth="1" min="2" max="2" width="34.0"/>
    <col customWidth="1" min="3" max="4" width="16.0"/>
    <col customWidth="1" min="5" max="5" width="14.0"/>
    <col customWidth="1" min="6" max="6" width="40.0"/>
    <col customWidth="1" min="7" max="26" width="8.71"/>
  </cols>
  <sheetData>
    <row r="1" ht="25.5" customHeight="1">
      <c r="A1" s="1" t="s">
        <v>189</v>
      </c>
    </row>
    <row r="2" ht="30.0" customHeight="1">
      <c r="A2" s="2" t="s">
        <v>191</v>
      </c>
    </row>
    <row r="4">
      <c r="A4" s="3" t="s">
        <v>193</v>
      </c>
      <c r="B4" s="4"/>
      <c r="C4" s="4"/>
      <c r="D4" s="4"/>
      <c r="E4" s="4"/>
      <c r="F4" s="5"/>
    </row>
    <row r="5">
      <c r="A5" s="6" t="s">
        <v>196</v>
      </c>
      <c r="B5" s="6" t="s">
        <v>197</v>
      </c>
      <c r="C5" s="6" t="s">
        <v>198</v>
      </c>
      <c r="D5" s="6"/>
      <c r="E5" s="6"/>
      <c r="F5" s="6" t="s">
        <v>199</v>
      </c>
    </row>
    <row r="6">
      <c r="A6" s="8" t="s">
        <v>201</v>
      </c>
      <c r="B6" s="41" t="s">
        <v>202</v>
      </c>
      <c r="C6" s="13">
        <f>150*Supuestos!B29</f>
        <v>2.49</v>
      </c>
      <c r="F6" s="40" t="s">
        <v>206</v>
      </c>
    </row>
    <row r="7">
      <c r="A7" s="8" t="s">
        <v>207</v>
      </c>
      <c r="B7" s="41" t="s">
        <v>208</v>
      </c>
      <c r="C7" s="9">
        <v>3.0</v>
      </c>
      <c r="F7" s="40" t="s">
        <v>209</v>
      </c>
    </row>
    <row r="8">
      <c r="A8" s="8" t="s">
        <v>210</v>
      </c>
      <c r="B8" s="41" t="s">
        <v>211</v>
      </c>
      <c r="C8" s="9">
        <v>1.0</v>
      </c>
      <c r="F8" s="40" t="s">
        <v>214</v>
      </c>
    </row>
    <row r="9">
      <c r="A9" s="18" t="s">
        <v>215</v>
      </c>
      <c r="B9" s="18" t="s">
        <v>216</v>
      </c>
      <c r="C9" s="43">
        <f>SUM(C6:C8)</f>
        <v>6.49</v>
      </c>
    </row>
    <row r="11">
      <c r="A11" s="3" t="s">
        <v>218</v>
      </c>
      <c r="B11" s="4"/>
      <c r="C11" s="4"/>
      <c r="D11" s="4"/>
      <c r="E11" s="4"/>
      <c r="F11" s="5"/>
    </row>
    <row r="12">
      <c r="A12" s="6" t="s">
        <v>12</v>
      </c>
      <c r="B12" s="6" t="s">
        <v>36</v>
      </c>
      <c r="C12" s="6" t="s">
        <v>220</v>
      </c>
      <c r="D12" s="6" t="s">
        <v>221</v>
      </c>
      <c r="E12" s="6" t="s">
        <v>222</v>
      </c>
      <c r="F12" s="6" t="s">
        <v>26</v>
      </c>
    </row>
    <row r="13">
      <c r="A13" s="7" t="s">
        <v>16</v>
      </c>
      <c r="B13" s="22">
        <f>Supuestos!B7</f>
        <v>29</v>
      </c>
      <c r="C13" s="22">
        <f t="shared" ref="C13:C15" si="1">$C$9</f>
        <v>6.49</v>
      </c>
      <c r="D13" s="22">
        <f t="shared" ref="D13:D15" si="2">B13-C13</f>
        <v>22.51</v>
      </c>
      <c r="E13" s="39">
        <f t="shared" ref="E13:E15" si="3">D13/B13</f>
        <v>0.7762068966</v>
      </c>
      <c r="F13" s="11" t="s">
        <v>226</v>
      </c>
    </row>
    <row r="14">
      <c r="A14" s="7" t="s">
        <v>19</v>
      </c>
      <c r="B14" s="22">
        <f>Supuestos!C7</f>
        <v>49</v>
      </c>
      <c r="C14" s="22">
        <f t="shared" si="1"/>
        <v>6.49</v>
      </c>
      <c r="D14" s="22">
        <f t="shared" si="2"/>
        <v>42.51</v>
      </c>
      <c r="E14" s="39">
        <f t="shared" si="3"/>
        <v>0.8675510204</v>
      </c>
      <c r="F14" s="11" t="s">
        <v>226</v>
      </c>
    </row>
    <row r="15">
      <c r="A15" s="7" t="s">
        <v>22</v>
      </c>
      <c r="B15" s="22">
        <f>Supuestos!D7</f>
        <v>99</v>
      </c>
      <c r="C15" s="22">
        <f t="shared" si="1"/>
        <v>6.49</v>
      </c>
      <c r="D15" s="22">
        <f t="shared" si="2"/>
        <v>92.51</v>
      </c>
      <c r="E15" s="39">
        <f t="shared" si="3"/>
        <v>0.9344444444</v>
      </c>
      <c r="F15" s="11" t="s">
        <v>226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4:F4"/>
    <mergeCell ref="A11:F1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30.0"/>
    <col customWidth="1" min="2" max="7" width="15.0"/>
    <col customWidth="1" min="8" max="26" width="8.71"/>
  </cols>
  <sheetData>
    <row r="1" ht="25.5" customHeight="1">
      <c r="A1" s="1" t="s">
        <v>236</v>
      </c>
    </row>
    <row r="2" ht="30.0" customHeight="1">
      <c r="A2" s="2" t="s">
        <v>237</v>
      </c>
    </row>
    <row r="4">
      <c r="A4" s="3" t="s">
        <v>238</v>
      </c>
      <c r="B4" s="4"/>
      <c r="C4" s="4"/>
      <c r="D4" s="4"/>
      <c r="E4" s="4"/>
      <c r="F4" s="4"/>
      <c r="G4" s="5"/>
    </row>
    <row r="5">
      <c r="A5" s="6" t="s">
        <v>240</v>
      </c>
      <c r="B5" s="6" t="s">
        <v>16</v>
      </c>
      <c r="C5" s="6" t="s">
        <v>19</v>
      </c>
      <c r="D5" s="6" t="s">
        <v>22</v>
      </c>
      <c r="E5" s="6"/>
      <c r="F5" s="6"/>
      <c r="G5" s="6"/>
    </row>
    <row r="6">
      <c r="A6" s="7" t="s">
        <v>242</v>
      </c>
      <c r="B6" s="22">
        <f>Unit_Economics!E13</f>
        <v>1.482136081</v>
      </c>
      <c r="C6" s="22">
        <f>Unit_Economics!F13</f>
        <v>3.044018588</v>
      </c>
      <c r="D6" s="22">
        <f>Unit_Economics!G13</f>
        <v>18.46973024</v>
      </c>
    </row>
    <row r="7">
      <c r="A7" s="7" t="s">
        <v>251</v>
      </c>
      <c r="B7" s="22">
        <f>Hipotesis_Externa!$C$9</f>
        <v>6.49</v>
      </c>
      <c r="C7" s="22">
        <f>Hipotesis_Externa!$C$9</f>
        <v>6.49</v>
      </c>
      <c r="D7" s="22">
        <f>Hipotesis_Externa!$C$9</f>
        <v>6.49</v>
      </c>
    </row>
    <row r="8">
      <c r="A8" s="28" t="s">
        <v>257</v>
      </c>
      <c r="B8" s="22">
        <f t="shared" ref="B8:D8" si="1">B7-B6</f>
        <v>5.007863919</v>
      </c>
      <c r="C8" s="22">
        <f t="shared" si="1"/>
        <v>3.445981412</v>
      </c>
      <c r="D8" s="22">
        <f t="shared" si="1"/>
        <v>-11.97973024</v>
      </c>
    </row>
    <row r="9">
      <c r="A9" s="28" t="s">
        <v>260</v>
      </c>
      <c r="B9" s="51">
        <f t="shared" ref="B9:D9" si="2">IF(B6&gt;0,B7/B6,"")</f>
        <v>4.378815201</v>
      </c>
      <c r="C9" s="51">
        <f t="shared" si="2"/>
        <v>2.132050055</v>
      </c>
      <c r="D9" s="51">
        <f t="shared" si="2"/>
        <v>0.3513857494</v>
      </c>
    </row>
    <row r="11">
      <c r="A11" s="3" t="s">
        <v>262</v>
      </c>
      <c r="B11" s="4"/>
      <c r="C11" s="4"/>
      <c r="D11" s="4"/>
      <c r="E11" s="4"/>
      <c r="F11" s="4"/>
      <c r="G11" s="5"/>
    </row>
    <row r="12">
      <c r="A12" s="6" t="s">
        <v>240</v>
      </c>
      <c r="B12" s="6" t="s">
        <v>16</v>
      </c>
      <c r="C12" s="6" t="s">
        <v>19</v>
      </c>
      <c r="D12" s="6" t="s">
        <v>22</v>
      </c>
      <c r="E12" s="6"/>
      <c r="F12" s="6"/>
      <c r="G12" s="6"/>
    </row>
    <row r="13">
      <c r="A13" s="7" t="s">
        <v>263</v>
      </c>
      <c r="B13" s="52">
        <f>Unit_Economics!E14</f>
        <v>0.9488918593</v>
      </c>
      <c r="C13" s="52">
        <f>Unit_Economics!F14</f>
        <v>0.9378771717</v>
      </c>
      <c r="D13" s="52">
        <f>Unit_Economics!G14</f>
        <v>0.8134370683</v>
      </c>
    </row>
    <row r="14">
      <c r="A14" s="7" t="s">
        <v>251</v>
      </c>
      <c r="B14" s="52">
        <f>(Supuestos!B7-Hipotesis_Externa!$C$9)/Supuestos!B7</f>
        <v>0.7762068966</v>
      </c>
      <c r="C14" s="52">
        <f>(Supuestos!C7-Hipotesis_Externa!$C$9)/Supuestos!C7</f>
        <v>0.8675510204</v>
      </c>
      <c r="D14" s="52">
        <f>(Supuestos!D7-Hipotesis_Externa!$C$9)/Supuestos!D7</f>
        <v>0.9344444444</v>
      </c>
    </row>
    <row r="15">
      <c r="A15" s="28" t="s">
        <v>272</v>
      </c>
      <c r="B15" s="53">
        <f t="shared" ref="B15:D15" si="3">B13-B14</f>
        <v>0.1726849627</v>
      </c>
      <c r="C15" s="53">
        <f t="shared" si="3"/>
        <v>0.07032615126</v>
      </c>
      <c r="D15" s="53">
        <f t="shared" si="3"/>
        <v>-0.1210073761</v>
      </c>
    </row>
    <row r="17">
      <c r="A17" s="18" t="s">
        <v>273</v>
      </c>
    </row>
    <row r="18">
      <c r="A18" s="40" t="s">
        <v>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A4:G4"/>
    <mergeCell ref="A11:G11"/>
    <mergeCell ref="A18:G2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26.0"/>
    <col customWidth="1" min="2" max="5" width="16.0"/>
    <col customWidth="1" min="6" max="7" width="18.0"/>
    <col customWidth="1" min="8" max="26" width="8.71"/>
  </cols>
  <sheetData>
    <row r="1" ht="25.5" customHeight="1">
      <c r="A1" s="1" t="s">
        <v>264</v>
      </c>
    </row>
    <row r="2" ht="30.0" customHeight="1">
      <c r="A2" s="2" t="s">
        <v>265</v>
      </c>
    </row>
    <row r="4">
      <c r="A4" s="6" t="s">
        <v>12</v>
      </c>
      <c r="B4" s="6" t="s">
        <v>219</v>
      </c>
      <c r="C4" s="6" t="s">
        <v>266</v>
      </c>
      <c r="D4" s="6" t="s">
        <v>267</v>
      </c>
      <c r="E4" s="6" t="s">
        <v>268</v>
      </c>
      <c r="F4" s="6" t="s">
        <v>269</v>
      </c>
      <c r="G4" s="6" t="s">
        <v>270</v>
      </c>
    </row>
    <row r="5">
      <c r="A5" s="7" t="s">
        <v>16</v>
      </c>
      <c r="B5" s="22">
        <f>Supuestos!B7</f>
        <v>29</v>
      </c>
      <c r="C5" s="9">
        <v>319.0</v>
      </c>
      <c r="D5" s="22">
        <f t="shared" ref="D5:D7" si="1">C5/12</f>
        <v>26.58333333</v>
      </c>
      <c r="E5" s="22">
        <f t="shared" ref="E5:E7" si="2">B5*12-C5</f>
        <v>29</v>
      </c>
      <c r="F5" s="9">
        <v>18.69</v>
      </c>
      <c r="G5" s="39">
        <f t="shared" ref="G5:G7" si="3">F5/D5</f>
        <v>0.7030721003</v>
      </c>
    </row>
    <row r="6">
      <c r="A6" s="7" t="s">
        <v>19</v>
      </c>
      <c r="B6" s="22">
        <f>Supuestos!C7</f>
        <v>49</v>
      </c>
      <c r="C6" s="9">
        <v>539.0</v>
      </c>
      <c r="D6" s="22">
        <f t="shared" si="1"/>
        <v>44.91666667</v>
      </c>
      <c r="E6" s="22">
        <f t="shared" si="2"/>
        <v>49</v>
      </c>
      <c r="F6" s="9">
        <v>31.12</v>
      </c>
      <c r="G6" s="39">
        <f t="shared" si="3"/>
        <v>0.69283859</v>
      </c>
    </row>
    <row r="7">
      <c r="A7" s="7" t="s">
        <v>22</v>
      </c>
      <c r="B7" s="22">
        <f>Supuestos!D7</f>
        <v>99</v>
      </c>
      <c r="C7" s="9">
        <v>1089.0</v>
      </c>
      <c r="D7" s="22">
        <f t="shared" si="1"/>
        <v>90.75</v>
      </c>
      <c r="E7" s="22">
        <f t="shared" si="2"/>
        <v>99</v>
      </c>
      <c r="F7" s="9">
        <v>49.12</v>
      </c>
      <c r="G7" s="39">
        <f t="shared" si="3"/>
        <v>0.5412672176</v>
      </c>
    </row>
    <row r="9">
      <c r="A9" s="40" t="s">
        <v>271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9:G1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14.0"/>
    <col customWidth="1" min="2" max="5" width="20.0"/>
    <col customWidth="1" min="6" max="6" width="22.0"/>
    <col customWidth="1" min="7" max="26" width="8.71"/>
  </cols>
  <sheetData>
    <row r="1" ht="25.5" customHeight="1">
      <c r="A1" s="1" t="s">
        <v>275</v>
      </c>
    </row>
    <row r="2" ht="30.0" customHeight="1">
      <c r="A2" s="2" t="s">
        <v>276</v>
      </c>
    </row>
    <row r="4">
      <c r="A4" s="6" t="s">
        <v>277</v>
      </c>
      <c r="B4" s="6" t="s">
        <v>21</v>
      </c>
      <c r="C4" s="6" t="s">
        <v>278</v>
      </c>
      <c r="D4" s="6" t="s">
        <v>279</v>
      </c>
      <c r="E4" s="6" t="s">
        <v>280</v>
      </c>
      <c r="F4" s="6" t="s">
        <v>234</v>
      </c>
    </row>
    <row r="5">
      <c r="A5" s="54">
        <v>10.0</v>
      </c>
      <c r="B5" s="14">
        <f>A5*(Supuestos!$B$7*Supuestos!$B$8+Supuestos!$C$7*Supuestos!$C$8+Supuestos!$D$7*Supuestos!$D$8)</f>
        <v>430</v>
      </c>
      <c r="C5" s="14">
        <f>A5*(Unit_Economics!$E$18*Supuestos!$B$8+Unit_Economics!$F$18*Supuestos!$C$8+Unit_Economics!$G$18*Supuestos!$D$8)</f>
        <v>299.4202896</v>
      </c>
      <c r="D5" s="14">
        <f>Supuestos!$B$41</f>
        <v>500</v>
      </c>
      <c r="E5" s="55">
        <f t="shared" ref="E5:E15" si="1">C5-D5</f>
        <v>-200.5797104</v>
      </c>
      <c r="F5" s="52">
        <f t="shared" ref="F5:F15" si="2">IF(B5&gt;0,E5/B5,"")</f>
        <v>-0.4664644428</v>
      </c>
    </row>
    <row r="6">
      <c r="A6" s="54">
        <v>25.0</v>
      </c>
      <c r="B6" s="14">
        <f>A6*(Supuestos!$B$7*Supuestos!$B$8+Supuestos!$C$7*Supuestos!$C$8+Supuestos!$D$7*Supuestos!$D$8)</f>
        <v>1075</v>
      </c>
      <c r="C6" s="14">
        <f>A6*(Unit_Economics!$E$18*Supuestos!$B$8+Unit_Economics!$F$18*Supuestos!$C$8+Unit_Economics!$G$18*Supuestos!$D$8)</f>
        <v>748.550724</v>
      </c>
      <c r="D6" s="14">
        <f>Supuestos!$B$41</f>
        <v>500</v>
      </c>
      <c r="E6" s="55">
        <f t="shared" si="1"/>
        <v>248.550724</v>
      </c>
      <c r="F6" s="52">
        <f t="shared" si="2"/>
        <v>0.2312099758</v>
      </c>
    </row>
    <row r="7">
      <c r="A7" s="54">
        <v>50.0</v>
      </c>
      <c r="B7" s="14">
        <f>A7*(Supuestos!$B$7*Supuestos!$B$8+Supuestos!$C$7*Supuestos!$C$8+Supuestos!$D$7*Supuestos!$D$8)</f>
        <v>2150</v>
      </c>
      <c r="C7" s="14">
        <f>A7*(Unit_Economics!$E$18*Supuestos!$B$8+Unit_Economics!$F$18*Supuestos!$C$8+Unit_Economics!$G$18*Supuestos!$D$8)</f>
        <v>1497.101448</v>
      </c>
      <c r="D7" s="14">
        <f>Supuestos!$B$41</f>
        <v>500</v>
      </c>
      <c r="E7" s="55">
        <f t="shared" si="1"/>
        <v>997.101448</v>
      </c>
      <c r="F7" s="52">
        <f t="shared" si="2"/>
        <v>0.4637681153</v>
      </c>
    </row>
    <row r="8">
      <c r="A8" s="54">
        <v>100.0</v>
      </c>
      <c r="B8" s="14">
        <f>A8*(Supuestos!$B$7*Supuestos!$B$8+Supuestos!$C$7*Supuestos!$C$8+Supuestos!$D$7*Supuestos!$D$8)</f>
        <v>4300</v>
      </c>
      <c r="C8" s="14">
        <f>A8*(Unit_Economics!$E$18*Supuestos!$B$8+Unit_Economics!$F$18*Supuestos!$C$8+Unit_Economics!$G$18*Supuestos!$D$8)</f>
        <v>2994.202896</v>
      </c>
      <c r="D8" s="14">
        <f>Supuestos!$B$41</f>
        <v>500</v>
      </c>
      <c r="E8" s="55">
        <f t="shared" si="1"/>
        <v>2494.202896</v>
      </c>
      <c r="F8" s="52">
        <f t="shared" si="2"/>
        <v>0.5800471851</v>
      </c>
    </row>
    <row r="9">
      <c r="A9" s="54">
        <v>120.0</v>
      </c>
      <c r="B9" s="14">
        <f>A9*(Supuestos!$B$7*Supuestos!$B$8+Supuestos!$C$7*Supuestos!$C$8+Supuestos!$D$7*Supuestos!$D$8)</f>
        <v>5160</v>
      </c>
      <c r="C9" s="14">
        <f>A9*(Unit_Economics!$E$18*Supuestos!$B$8+Unit_Economics!$F$18*Supuestos!$C$8+Unit_Economics!$G$18*Supuestos!$D$8)</f>
        <v>3593.043475</v>
      </c>
      <c r="D9" s="14">
        <f>Supuestos!$B$41</f>
        <v>500</v>
      </c>
      <c r="E9" s="55">
        <f t="shared" si="1"/>
        <v>3093.043475</v>
      </c>
      <c r="F9" s="52">
        <f t="shared" si="2"/>
        <v>0.5994270301</v>
      </c>
    </row>
    <row r="10">
      <c r="A10" s="54">
        <v>150.0</v>
      </c>
      <c r="B10" s="14">
        <f>A10*(Supuestos!$B$7*Supuestos!$B$8+Supuestos!$C$7*Supuestos!$C$8+Supuestos!$D$7*Supuestos!$D$8)</f>
        <v>6450</v>
      </c>
      <c r="C10" s="14">
        <f>A10*(Unit_Economics!$E$18*Supuestos!$B$8+Unit_Economics!$F$18*Supuestos!$C$8+Unit_Economics!$G$18*Supuestos!$D$8)</f>
        <v>4491.304344</v>
      </c>
      <c r="D10" s="14">
        <f>Supuestos!$B$41</f>
        <v>500</v>
      </c>
      <c r="E10" s="55">
        <f t="shared" si="1"/>
        <v>3991.304344</v>
      </c>
      <c r="F10" s="52">
        <f t="shared" si="2"/>
        <v>0.618806875</v>
      </c>
    </row>
    <row r="11">
      <c r="A11" s="54">
        <v>200.0</v>
      </c>
      <c r="B11" s="14">
        <f>A11*(Supuestos!$B$7*Supuestos!$B$8+Supuestos!$C$7*Supuestos!$C$8+Supuestos!$D$7*Supuestos!$D$8)</f>
        <v>8600</v>
      </c>
      <c r="C11" s="14">
        <f>A11*(Unit_Economics!$E$18*Supuestos!$B$8+Unit_Economics!$F$18*Supuestos!$C$8+Unit_Economics!$G$18*Supuestos!$D$8)</f>
        <v>5988.405792</v>
      </c>
      <c r="D11" s="14">
        <f>Supuestos!$B$41</f>
        <v>500</v>
      </c>
      <c r="E11" s="55">
        <f t="shared" si="1"/>
        <v>5488.405792</v>
      </c>
      <c r="F11" s="52">
        <f t="shared" si="2"/>
        <v>0.63818672</v>
      </c>
    </row>
    <row r="12">
      <c r="A12" s="54">
        <v>300.0</v>
      </c>
      <c r="B12" s="14">
        <f>A12*(Supuestos!$B$7*Supuestos!$B$8+Supuestos!$C$7*Supuestos!$C$8+Supuestos!$D$7*Supuestos!$D$8)</f>
        <v>12900</v>
      </c>
      <c r="C12" s="14">
        <f>A12*(Unit_Economics!$E$18*Supuestos!$B$8+Unit_Economics!$F$18*Supuestos!$C$8+Unit_Economics!$G$18*Supuestos!$D$8)</f>
        <v>8982.608688</v>
      </c>
      <c r="D12" s="14">
        <f>Supuestos!$B$41</f>
        <v>500</v>
      </c>
      <c r="E12" s="55">
        <f t="shared" si="1"/>
        <v>8482.608688</v>
      </c>
      <c r="F12" s="52">
        <f t="shared" si="2"/>
        <v>0.657566565</v>
      </c>
    </row>
    <row r="13">
      <c r="A13" s="54">
        <v>500.0</v>
      </c>
      <c r="B13" s="14">
        <f>A13*(Supuestos!$B$7*Supuestos!$B$8+Supuestos!$C$7*Supuestos!$C$8+Supuestos!$D$7*Supuestos!$D$8)</f>
        <v>21500</v>
      </c>
      <c r="C13" s="14">
        <f>A13*(Unit_Economics!$E$18*Supuestos!$B$8+Unit_Economics!$F$18*Supuestos!$C$8+Unit_Economics!$G$18*Supuestos!$D$8)</f>
        <v>14971.01448</v>
      </c>
      <c r="D13" s="14">
        <f>Supuestos!$B$41</f>
        <v>500</v>
      </c>
      <c r="E13" s="55">
        <f t="shared" si="1"/>
        <v>14471.01448</v>
      </c>
      <c r="F13" s="52">
        <f t="shared" si="2"/>
        <v>0.6730704409</v>
      </c>
    </row>
    <row r="14">
      <c r="A14" s="54">
        <v>750.0</v>
      </c>
      <c r="B14" s="14">
        <f>A14*(Supuestos!$B$7*Supuestos!$B$8+Supuestos!$C$7*Supuestos!$C$8+Supuestos!$D$7*Supuestos!$D$8)</f>
        <v>32250</v>
      </c>
      <c r="C14" s="14">
        <f>A14*(Unit_Economics!$E$18*Supuestos!$B$8+Unit_Economics!$F$18*Supuestos!$C$8+Unit_Economics!$G$18*Supuestos!$D$8)</f>
        <v>22456.52172</v>
      </c>
      <c r="D14" s="14">
        <f>Supuestos!$B$41</f>
        <v>500</v>
      </c>
      <c r="E14" s="55">
        <f t="shared" si="1"/>
        <v>21956.52172</v>
      </c>
      <c r="F14" s="52">
        <f t="shared" si="2"/>
        <v>0.6808223789</v>
      </c>
    </row>
    <row r="15">
      <c r="A15" s="54">
        <v>1000.0</v>
      </c>
      <c r="B15" s="14">
        <f>A15*(Supuestos!$B$7*Supuestos!$B$8+Supuestos!$C$7*Supuestos!$C$8+Supuestos!$D$7*Supuestos!$D$8)</f>
        <v>43000</v>
      </c>
      <c r="C15" s="14">
        <f>A15*(Unit_Economics!$E$18*Supuestos!$B$8+Unit_Economics!$F$18*Supuestos!$C$8+Unit_Economics!$G$18*Supuestos!$D$8)</f>
        <v>29942.02896</v>
      </c>
      <c r="D15" s="14">
        <f>Supuestos!$B$41</f>
        <v>500</v>
      </c>
      <c r="E15" s="55">
        <f t="shared" si="1"/>
        <v>29442.02896</v>
      </c>
      <c r="F15" s="52">
        <f t="shared" si="2"/>
        <v>0.6846983479</v>
      </c>
    </row>
    <row r="17">
      <c r="A17" s="18" t="s">
        <v>383</v>
      </c>
    </row>
    <row r="18">
      <c r="A18" s="74" t="s">
        <v>384</v>
      </c>
      <c r="B18" s="48">
        <f>ROUNDUP(Supuestos!B41/(Unit_Economics!E18*Supuestos!B8+Unit_Economics!F18*Supuestos!C8+Unit_Economics!G18*Supuestos!D8),0)</f>
        <v>17</v>
      </c>
      <c r="C18" s="11" t="s">
        <v>385</v>
      </c>
    </row>
    <row r="20">
      <c r="A20" s="3" t="s">
        <v>386</v>
      </c>
      <c r="B20" s="4"/>
      <c r="C20" s="4"/>
      <c r="D20" s="4"/>
      <c r="E20" s="4"/>
      <c r="F20" s="5"/>
    </row>
    <row r="21" ht="15.75" customHeight="1">
      <c r="A21" s="6" t="s">
        <v>12</v>
      </c>
      <c r="B21" s="6" t="s">
        <v>387</v>
      </c>
      <c r="C21" s="6" t="s">
        <v>15</v>
      </c>
      <c r="D21" s="6" t="s">
        <v>18</v>
      </c>
      <c r="E21" s="6" t="s">
        <v>21</v>
      </c>
      <c r="F21" s="6" t="s">
        <v>269</v>
      </c>
    </row>
    <row r="22" ht="15.75" customHeight="1">
      <c r="A22" s="7" t="s">
        <v>16</v>
      </c>
      <c r="B22" s="52">
        <f>Supuestos!B8</f>
        <v>0.55</v>
      </c>
      <c r="C22" s="19">
        <f t="shared" ref="C22:C24" si="3">ROUND($B$18*B22,0)</f>
        <v>9</v>
      </c>
      <c r="D22" s="14">
        <f>Supuestos!B7</f>
        <v>29</v>
      </c>
      <c r="E22" s="14">
        <f t="shared" ref="E22:E24" si="4">C22*D22</f>
        <v>261</v>
      </c>
      <c r="F22" s="14">
        <f>C22*Unit_Economics!E18</f>
        <v>192.6557753</v>
      </c>
    </row>
    <row r="23" ht="15.75" customHeight="1">
      <c r="A23" s="7" t="s">
        <v>19</v>
      </c>
      <c r="B23" s="52">
        <f>Supuestos!C8</f>
        <v>0.35</v>
      </c>
      <c r="C23" s="19">
        <f t="shared" si="3"/>
        <v>6</v>
      </c>
      <c r="D23" s="14">
        <f>Supuestos!C7</f>
        <v>49</v>
      </c>
      <c r="E23" s="14">
        <f t="shared" si="4"/>
        <v>294</v>
      </c>
      <c r="F23" s="14">
        <f>C23*Unit_Economics!F18</f>
        <v>212.8158885</v>
      </c>
    </row>
    <row r="24" ht="15.75" customHeight="1">
      <c r="A24" s="7" t="s">
        <v>22</v>
      </c>
      <c r="B24" s="52">
        <f>Supuestos!D8</f>
        <v>0.1</v>
      </c>
      <c r="C24" s="19">
        <f t="shared" si="3"/>
        <v>2</v>
      </c>
      <c r="D24" s="14">
        <f>Supuestos!D7</f>
        <v>99</v>
      </c>
      <c r="E24" s="14">
        <f t="shared" si="4"/>
        <v>198</v>
      </c>
      <c r="F24" s="14">
        <f>C24*Unit_Economics!G18</f>
        <v>115.0872062</v>
      </c>
    </row>
    <row r="25" ht="15.75" customHeight="1">
      <c r="A25" s="18" t="s">
        <v>66</v>
      </c>
      <c r="B25" s="79">
        <f t="shared" ref="B25:C25" si="5">SUM(B22:B24)</f>
        <v>1</v>
      </c>
      <c r="C25" s="81">
        <f t="shared" si="5"/>
        <v>17</v>
      </c>
      <c r="D25" s="82"/>
      <c r="E25" s="42">
        <f t="shared" ref="E25:F25" si="6">SUM(E22:E24)</f>
        <v>753</v>
      </c>
      <c r="F25" s="42">
        <f t="shared" si="6"/>
        <v>520.5588699</v>
      </c>
    </row>
    <row r="26" ht="15.75" customHeight="1"/>
    <row r="27" ht="15.75" customHeight="1">
      <c r="A27" s="3" t="s">
        <v>395</v>
      </c>
      <c r="B27" s="4"/>
      <c r="C27" s="4"/>
      <c r="D27" s="4"/>
      <c r="E27" s="4"/>
      <c r="F27" s="5"/>
    </row>
    <row r="28" ht="15.75" customHeight="1">
      <c r="A28" s="6" t="s">
        <v>12</v>
      </c>
      <c r="B28" s="6" t="s">
        <v>399</v>
      </c>
      <c r="C28" s="6" t="s">
        <v>400</v>
      </c>
      <c r="D28" s="6" t="s">
        <v>21</v>
      </c>
      <c r="E28" s="6"/>
      <c r="F28" s="6"/>
    </row>
    <row r="29" ht="15.75" customHeight="1">
      <c r="A29" s="7" t="s">
        <v>16</v>
      </c>
      <c r="B29" s="22">
        <f>Unit_Economics!E18</f>
        <v>21.40619725</v>
      </c>
      <c r="C29" s="83">
        <f>IFERROR(ROUNDUP(Supuestos!$B$41/B29,0),"")</f>
        <v>24</v>
      </c>
      <c r="D29" s="14">
        <f>IFERROR(C29*Supuestos!B7,"")</f>
        <v>696</v>
      </c>
    </row>
    <row r="30" ht="15.75" customHeight="1">
      <c r="A30" s="7" t="s">
        <v>19</v>
      </c>
      <c r="B30" s="22">
        <f>Unit_Economics!F18</f>
        <v>35.46931474</v>
      </c>
      <c r="C30" s="83">
        <f>IFERROR(ROUNDUP(Supuestos!$B$41/B30,0),"")</f>
        <v>15</v>
      </c>
      <c r="D30" s="14">
        <f>IFERROR(C30*Supuestos!C7,"")</f>
        <v>735</v>
      </c>
    </row>
    <row r="31" ht="15.75" customHeight="1">
      <c r="A31" s="7" t="s">
        <v>22</v>
      </c>
      <c r="B31" s="22">
        <f>Unit_Economics!G18</f>
        <v>57.5436031</v>
      </c>
      <c r="C31" s="83">
        <f>IFERROR(ROUNDUP(Supuestos!$B$41/B31,0),"")</f>
        <v>9</v>
      </c>
      <c r="D31" s="14">
        <f>IFERROR(C31*Supuestos!D7,"")</f>
        <v>891</v>
      </c>
    </row>
    <row r="32" ht="15.75" customHeight="1"/>
    <row r="33" ht="15.75" customHeight="1">
      <c r="A33" s="40" t="s">
        <v>411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2:F2"/>
    <mergeCell ref="A20:F20"/>
    <mergeCell ref="A27:F27"/>
    <mergeCell ref="A33:F35"/>
  </mergeCells>
  <conditionalFormatting sqref="E5:E15">
    <cfRule type="cellIs" dxfId="2" priority="1" operator="lessThan">
      <formula>0</formula>
    </cfRule>
  </conditionalFormatting>
  <conditionalFormatting sqref="E5:E15">
    <cfRule type="cellIs" dxfId="3" priority="2" operator="greaterThanOrEqual">
      <formula>0</formula>
    </cfRule>
  </conditionalFormatting>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831F"/>
    <pageSetUpPr/>
  </sheetPr>
  <sheetViews>
    <sheetView showGridLines="0" workbookViewId="0"/>
  </sheetViews>
  <sheetFormatPr customHeight="1" defaultColWidth="14.43" defaultRowHeight="15.0"/>
  <cols>
    <col customWidth="1" min="1" max="1" width="36.0"/>
    <col customWidth="1" min="2" max="3" width="16.0"/>
    <col customWidth="1" min="4" max="4" width="18.0"/>
    <col customWidth="1" min="5" max="5" width="14.0"/>
    <col customWidth="1" min="6" max="6" width="44.0"/>
    <col customWidth="1" min="7" max="26" width="8.71"/>
  </cols>
  <sheetData>
    <row r="1" ht="25.5" customHeight="1">
      <c r="A1" s="1" t="s">
        <v>281</v>
      </c>
    </row>
    <row r="2" ht="30.0" customHeight="1">
      <c r="A2" s="2" t="s">
        <v>282</v>
      </c>
    </row>
    <row r="4">
      <c r="A4" s="3" t="s">
        <v>283</v>
      </c>
      <c r="B4" s="4"/>
      <c r="C4" s="4"/>
      <c r="D4" s="4"/>
      <c r="E4" s="4"/>
      <c r="F4" s="5"/>
    </row>
    <row r="5">
      <c r="A5" s="6" t="s">
        <v>13</v>
      </c>
      <c r="B5" s="6" t="s">
        <v>89</v>
      </c>
      <c r="C5" s="6"/>
      <c r="D5" s="6" t="s">
        <v>23</v>
      </c>
      <c r="E5" s="6"/>
      <c r="F5" s="6" t="s">
        <v>26</v>
      </c>
    </row>
    <row r="6">
      <c r="A6" s="7" t="s">
        <v>284</v>
      </c>
      <c r="B6" s="56"/>
      <c r="D6" s="11" t="s">
        <v>54</v>
      </c>
      <c r="F6" s="40" t="s">
        <v>285</v>
      </c>
    </row>
    <row r="7">
      <c r="A7" s="7" t="s">
        <v>286</v>
      </c>
      <c r="B7" s="56"/>
      <c r="D7" s="11" t="s">
        <v>287</v>
      </c>
      <c r="F7" s="40" t="s">
        <v>288</v>
      </c>
    </row>
    <row r="8">
      <c r="A8" s="7" t="s">
        <v>289</v>
      </c>
      <c r="B8" s="57"/>
      <c r="D8" s="11" t="s">
        <v>44</v>
      </c>
      <c r="F8" s="40" t="s">
        <v>290</v>
      </c>
    </row>
    <row r="9">
      <c r="A9" s="7" t="s">
        <v>291</v>
      </c>
      <c r="B9" s="57"/>
      <c r="D9" s="11" t="s">
        <v>44</v>
      </c>
      <c r="F9" s="40" t="s">
        <v>292</v>
      </c>
    </row>
    <row r="10">
      <c r="A10" s="7" t="s">
        <v>293</v>
      </c>
      <c r="B10" s="57"/>
      <c r="D10" s="11" t="s">
        <v>44</v>
      </c>
      <c r="F10" s="40" t="s">
        <v>294</v>
      </c>
    </row>
    <row r="11">
      <c r="A11" s="7" t="s">
        <v>295</v>
      </c>
      <c r="B11" s="57"/>
      <c r="D11" s="11" t="s">
        <v>44</v>
      </c>
      <c r="F11" s="40" t="s">
        <v>296</v>
      </c>
    </row>
    <row r="12">
      <c r="A12" s="7" t="s">
        <v>297</v>
      </c>
      <c r="B12" s="57"/>
      <c r="D12" s="11" t="s">
        <v>44</v>
      </c>
      <c r="F12" s="40" t="s">
        <v>298</v>
      </c>
    </row>
    <row r="14">
      <c r="A14" s="3" t="s">
        <v>299</v>
      </c>
      <c r="B14" s="4"/>
      <c r="C14" s="4"/>
      <c r="D14" s="4"/>
      <c r="E14" s="4"/>
      <c r="F14" s="5"/>
    </row>
    <row r="15">
      <c r="A15" s="6" t="s">
        <v>11</v>
      </c>
      <c r="B15" s="6" t="s">
        <v>89</v>
      </c>
      <c r="C15" s="6"/>
      <c r="D15" s="6" t="s">
        <v>23</v>
      </c>
      <c r="E15" s="6"/>
      <c r="F15" s="6" t="s">
        <v>300</v>
      </c>
    </row>
    <row r="16">
      <c r="A16" s="7" t="s">
        <v>301</v>
      </c>
      <c r="B16" s="47" t="str">
        <f>IFERROR(B6/B7,"")</f>
        <v/>
      </c>
      <c r="D16" s="11" t="s">
        <v>302</v>
      </c>
      <c r="F16" s="11" t="s">
        <v>304</v>
      </c>
    </row>
    <row r="17">
      <c r="A17" s="7" t="s">
        <v>305</v>
      </c>
      <c r="B17" s="47">
        <f t="shared" ref="B17:B19" si="1">IFERROR(B16*B8,"")</f>
        <v>0</v>
      </c>
      <c r="D17" s="11" t="s">
        <v>308</v>
      </c>
      <c r="F17" s="11" t="s">
        <v>309</v>
      </c>
    </row>
    <row r="18">
      <c r="A18" s="7" t="s">
        <v>311</v>
      </c>
      <c r="B18" s="47">
        <f t="shared" si="1"/>
        <v>0</v>
      </c>
      <c r="D18" s="11" t="s">
        <v>313</v>
      </c>
      <c r="F18" s="11" t="s">
        <v>314</v>
      </c>
    </row>
    <row r="19">
      <c r="A19" s="7" t="s">
        <v>316</v>
      </c>
      <c r="B19" s="60">
        <f t="shared" si="1"/>
        <v>0</v>
      </c>
      <c r="D19" s="11" t="s">
        <v>317</v>
      </c>
      <c r="F19" s="11" t="s">
        <v>319</v>
      </c>
    </row>
    <row r="20">
      <c r="A20" s="7" t="s">
        <v>320</v>
      </c>
      <c r="B20" s="62">
        <f>IFERROR(IF(B12&gt;0,B19/B12,B19),"")</f>
        <v>0</v>
      </c>
      <c r="D20" s="11" t="s">
        <v>317</v>
      </c>
      <c r="F20" s="11" t="s">
        <v>324</v>
      </c>
    </row>
    <row r="21" ht="15.75" customHeight="1">
      <c r="A21" s="7" t="s">
        <v>325</v>
      </c>
      <c r="B21" s="43" t="str">
        <f>IFERROR(B6/B19,"")</f>
        <v/>
      </c>
      <c r="D21" s="11" t="s">
        <v>177</v>
      </c>
      <c r="F21" s="11" t="s">
        <v>328</v>
      </c>
    </row>
    <row r="22" ht="15.75" customHeight="1">
      <c r="A22" s="7" t="s">
        <v>330</v>
      </c>
      <c r="B22" s="13">
        <f>Supuestos!B42</f>
        <v>150</v>
      </c>
      <c r="D22" s="11" t="s">
        <v>177</v>
      </c>
      <c r="F22" s="11" t="s">
        <v>333</v>
      </c>
    </row>
    <row r="23" ht="15.75" customHeight="1">
      <c r="A23" s="7" t="s">
        <v>334</v>
      </c>
      <c r="B23" s="13">
        <f>IFERROR(B21-B22,"")</f>
        <v>-150</v>
      </c>
      <c r="D23" s="11" t="s">
        <v>177</v>
      </c>
      <c r="F23" s="11" t="s">
        <v>337</v>
      </c>
    </row>
    <row r="24" ht="15.75" customHeight="1"/>
    <row r="25" ht="15.75" customHeight="1">
      <c r="A25" s="3" t="s">
        <v>338</v>
      </c>
      <c r="B25" s="4"/>
      <c r="C25" s="4"/>
      <c r="D25" s="4"/>
      <c r="E25" s="4"/>
      <c r="F25" s="5"/>
    </row>
    <row r="26" ht="15.75" customHeight="1">
      <c r="A26" s="6" t="s">
        <v>11</v>
      </c>
      <c r="B26" s="6" t="s">
        <v>89</v>
      </c>
      <c r="C26" s="6"/>
      <c r="D26" s="6" t="s">
        <v>23</v>
      </c>
      <c r="E26" s="6"/>
      <c r="F26" s="6" t="s">
        <v>340</v>
      </c>
    </row>
    <row r="27" ht="15.75" customHeight="1">
      <c r="A27" s="7" t="s">
        <v>92</v>
      </c>
      <c r="B27" s="13">
        <f>Unit_Economics!E18*Supuestos!B8+Unit_Economics!F18*Supuestos!C8+Unit_Economics!G18*Supuestos!D8</f>
        <v>29.94202896</v>
      </c>
      <c r="D27" s="11" t="s">
        <v>54</v>
      </c>
      <c r="F27" s="11" t="s">
        <v>345</v>
      </c>
    </row>
    <row r="28" ht="15.75" customHeight="1">
      <c r="A28" s="7" t="s">
        <v>346</v>
      </c>
      <c r="B28" s="62">
        <f>IFERROR(B21/B27,"")</f>
        <v>0</v>
      </c>
      <c r="D28" s="11" t="s">
        <v>348</v>
      </c>
      <c r="F28" s="11" t="s">
        <v>349</v>
      </c>
    </row>
    <row r="29" ht="15.75" customHeight="1">
      <c r="A29" s="7" t="s">
        <v>350</v>
      </c>
      <c r="B29" s="62" t="str">
        <f>IFERROR(1/B11,"")</f>
        <v/>
      </c>
      <c r="D29" s="11" t="s">
        <v>348</v>
      </c>
      <c r="F29" s="11" t="s">
        <v>351</v>
      </c>
    </row>
    <row r="30" ht="15.75" customHeight="1">
      <c r="A30" s="7" t="s">
        <v>352</v>
      </c>
      <c r="B30" s="13">
        <f>IFERROR(B27*B29,"")</f>
        <v>0</v>
      </c>
      <c r="D30" s="11" t="s">
        <v>353</v>
      </c>
      <c r="F30" s="11" t="s">
        <v>354</v>
      </c>
    </row>
    <row r="31" ht="15.75" customHeight="1">
      <c r="A31" s="7" t="s">
        <v>355</v>
      </c>
      <c r="B31" s="69" t="str">
        <f>IFERROR(B30/B21,"")</f>
        <v/>
      </c>
      <c r="D31" s="11" t="s">
        <v>356</v>
      </c>
      <c r="F31" s="11" t="s">
        <v>357</v>
      </c>
    </row>
    <row r="32" ht="15.75" customHeight="1">
      <c r="A32" s="7" t="s">
        <v>256</v>
      </c>
      <c r="B32" s="70" t="str">
        <f>IF(B31="","Faltan datos",IF(AND(B31&gt;=3,B28&lt;=12),"Sano",IF(B31&gt;=1,"Ajustado: revisar precio o embudo","Insostenible: cada cliente pierde dinero")))</f>
        <v>Faltan datos</v>
      </c>
      <c r="D32" s="11"/>
      <c r="F32" s="11" t="s">
        <v>358</v>
      </c>
    </row>
    <row r="33" ht="15.75" customHeight="1"/>
    <row r="34" ht="15.75" customHeight="1">
      <c r="A34" s="3" t="s">
        <v>359</v>
      </c>
      <c r="B34" s="4"/>
      <c r="C34" s="4"/>
      <c r="D34" s="4"/>
      <c r="E34" s="4"/>
      <c r="F34" s="5"/>
    </row>
    <row r="35" ht="15.75" customHeight="1">
      <c r="A35" s="6" t="s">
        <v>11</v>
      </c>
      <c r="B35" s="6" t="s">
        <v>360</v>
      </c>
      <c r="C35" s="6" t="s">
        <v>361</v>
      </c>
      <c r="D35" s="6" t="s">
        <v>23</v>
      </c>
      <c r="E35" s="6"/>
      <c r="F35" s="6" t="s">
        <v>26</v>
      </c>
    </row>
    <row r="36" ht="15.75" customHeight="1">
      <c r="A36" s="7" t="s">
        <v>362</v>
      </c>
      <c r="B36" s="44">
        <f>Supuestos!B41</f>
        <v>500</v>
      </c>
      <c r="C36" s="44">
        <f>Supuestos!B41+IFERROR(B6,0)</f>
        <v>500</v>
      </c>
      <c r="D36" s="11"/>
      <c r="F36" s="40" t="s">
        <v>363</v>
      </c>
    </row>
    <row r="37" ht="15.75" customHeight="1">
      <c r="A37" s="7" t="s">
        <v>247</v>
      </c>
      <c r="B37" s="47">
        <f t="shared" ref="B37:C37" si="2">IFERROR(ROUNDUP(B36/$B$27,0),"")</f>
        <v>17</v>
      </c>
      <c r="C37" s="47">
        <f t="shared" si="2"/>
        <v>17</v>
      </c>
      <c r="D37" s="11"/>
      <c r="F37" s="40" t="s">
        <v>364</v>
      </c>
    </row>
    <row r="38" ht="15.75" customHeight="1">
      <c r="A38" s="7" t="s">
        <v>366</v>
      </c>
      <c r="B38" s="47"/>
      <c r="C38" s="71">
        <f>IFERROR(C37-B37,"")</f>
        <v>0</v>
      </c>
      <c r="D38" s="11"/>
      <c r="F38" s="40" t="s">
        <v>368</v>
      </c>
    </row>
    <row r="39" ht="15.75" customHeight="1">
      <c r="A39" s="7" t="s">
        <v>370</v>
      </c>
      <c r="B39" s="62"/>
      <c r="C39" s="72" t="str">
        <f>IFERROR(C38/B19,"")</f>
        <v/>
      </c>
      <c r="D39" s="11"/>
      <c r="F39" s="40" t="s">
        <v>374</v>
      </c>
    </row>
    <row r="40" ht="15.75" customHeight="1"/>
    <row r="41" ht="15.75" customHeight="1">
      <c r="A41" s="18" t="s">
        <v>375</v>
      </c>
    </row>
    <row r="42" ht="15.75" customHeight="1">
      <c r="A42" s="40" t="s">
        <v>377</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2:F2"/>
    <mergeCell ref="A4:F4"/>
    <mergeCell ref="A14:F14"/>
    <mergeCell ref="A25:F25"/>
    <mergeCell ref="A34:F34"/>
    <mergeCell ref="A42:F4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34.0"/>
    <col customWidth="1" min="2" max="4" width="18.0"/>
    <col customWidth="1" min="5" max="5" width="14.0"/>
    <col customWidth="1" min="6" max="6" width="40.0"/>
    <col customWidth="1" min="7" max="26" width="8.71"/>
  </cols>
  <sheetData>
    <row r="1" ht="25.5" customHeight="1">
      <c r="A1" s="1" t="s">
        <v>303</v>
      </c>
    </row>
    <row r="2" ht="30.0" customHeight="1">
      <c r="A2" s="2" t="s">
        <v>306</v>
      </c>
    </row>
    <row r="5">
      <c r="A5" s="18" t="s">
        <v>307</v>
      </c>
      <c r="B5" s="58" t="s">
        <v>310</v>
      </c>
      <c r="C5" s="59" t="s">
        <v>312</v>
      </c>
    </row>
    <row r="7">
      <c r="A7" s="3" t="s">
        <v>315</v>
      </c>
      <c r="B7" s="4"/>
      <c r="C7" s="4"/>
      <c r="D7" s="4"/>
      <c r="E7" s="4"/>
      <c r="F7" s="5"/>
    </row>
    <row r="8">
      <c r="A8" s="6" t="s">
        <v>318</v>
      </c>
      <c r="B8" s="6" t="s">
        <v>321</v>
      </c>
      <c r="C8" s="6" t="s">
        <v>310</v>
      </c>
      <c r="D8" s="6" t="s">
        <v>322</v>
      </c>
      <c r="E8" s="6" t="s">
        <v>23</v>
      </c>
      <c r="F8" s="6" t="s">
        <v>26</v>
      </c>
    </row>
    <row r="9">
      <c r="A9" s="7" t="s">
        <v>323</v>
      </c>
      <c r="B9" s="61"/>
      <c r="C9" s="63">
        <v>4.0</v>
      </c>
      <c r="D9" s="61"/>
      <c r="E9" s="11" t="s">
        <v>245</v>
      </c>
      <c r="F9" s="40" t="s">
        <v>326</v>
      </c>
    </row>
    <row r="10">
      <c r="A10" s="7" t="s">
        <v>327</v>
      </c>
      <c r="B10" s="64"/>
      <c r="C10" s="64"/>
      <c r="D10" s="64"/>
      <c r="E10" s="11" t="s">
        <v>44</v>
      </c>
      <c r="F10" s="40" t="s">
        <v>329</v>
      </c>
    </row>
    <row r="11">
      <c r="A11" s="7" t="s">
        <v>295</v>
      </c>
      <c r="B11" s="64"/>
      <c r="C11" s="64"/>
      <c r="D11" s="64"/>
      <c r="E11" s="11" t="s">
        <v>44</v>
      </c>
      <c r="F11" s="40" t="s">
        <v>331</v>
      </c>
    </row>
    <row r="12">
      <c r="A12" s="7" t="s">
        <v>332</v>
      </c>
      <c r="B12" s="64"/>
      <c r="C12" s="65">
        <v>0.55</v>
      </c>
      <c r="D12" s="64"/>
      <c r="E12" s="11" t="s">
        <v>44</v>
      </c>
      <c r="F12" s="40" t="s">
        <v>335</v>
      </c>
    </row>
    <row r="13">
      <c r="A13" s="7" t="s">
        <v>336</v>
      </c>
      <c r="B13" s="64"/>
      <c r="C13" s="65">
        <v>0.35</v>
      </c>
      <c r="D13" s="64"/>
      <c r="E13" s="11" t="s">
        <v>44</v>
      </c>
      <c r="F13" s="40" t="s">
        <v>335</v>
      </c>
    </row>
    <row r="14">
      <c r="A14" s="7" t="s">
        <v>339</v>
      </c>
      <c r="B14" s="64"/>
      <c r="C14" s="65">
        <v>0.1</v>
      </c>
      <c r="D14" s="64"/>
      <c r="E14" s="11" t="s">
        <v>44</v>
      </c>
      <c r="F14" s="40" t="s">
        <v>335</v>
      </c>
    </row>
    <row r="15">
      <c r="A15" s="7" t="s">
        <v>100</v>
      </c>
      <c r="B15" s="66"/>
      <c r="C15" s="67">
        <v>3500.0</v>
      </c>
      <c r="D15" s="66"/>
      <c r="E15" s="11" t="s">
        <v>54</v>
      </c>
      <c r="F15" s="40" t="s">
        <v>341</v>
      </c>
    </row>
    <row r="16">
      <c r="A16" s="7" t="s">
        <v>342</v>
      </c>
      <c r="B16" s="66"/>
      <c r="C16" s="66"/>
      <c r="D16" s="66"/>
      <c r="E16" s="11" t="s">
        <v>54</v>
      </c>
      <c r="F16" s="40" t="s">
        <v>343</v>
      </c>
    </row>
    <row r="19">
      <c r="A19" s="3" t="s">
        <v>344</v>
      </c>
      <c r="B19" s="4"/>
      <c r="C19" s="4"/>
      <c r="D19" s="4"/>
      <c r="E19" s="4"/>
      <c r="F19" s="5"/>
    </row>
    <row r="20">
      <c r="A20" s="6" t="s">
        <v>318</v>
      </c>
      <c r="B20" s="6" t="s">
        <v>347</v>
      </c>
      <c r="C20" s="6"/>
      <c r="D20" s="6" t="s">
        <v>23</v>
      </c>
      <c r="E20" s="6"/>
      <c r="F20" s="6"/>
    </row>
    <row r="21" ht="15.75" customHeight="1">
      <c r="A21" s="7" t="s">
        <v>323</v>
      </c>
      <c r="B21" s="68">
        <f t="shared" ref="B21:B28" si="1">IF($B$5="Pesimista",B9,IF($B$5="Optimista",D9,C9))</f>
        <v>4</v>
      </c>
      <c r="D21" s="11" t="s">
        <v>245</v>
      </c>
    </row>
    <row r="22" ht="15.75" customHeight="1">
      <c r="A22" s="7" t="s">
        <v>327</v>
      </c>
      <c r="B22" s="39" t="str">
        <f t="shared" si="1"/>
        <v/>
      </c>
      <c r="D22" s="11" t="s">
        <v>44</v>
      </c>
    </row>
    <row r="23" ht="15.75" customHeight="1">
      <c r="A23" s="7" t="s">
        <v>295</v>
      </c>
      <c r="B23" s="39" t="str">
        <f t="shared" si="1"/>
        <v/>
      </c>
      <c r="D23" s="11" t="s">
        <v>44</v>
      </c>
    </row>
    <row r="24" ht="15.75" customHeight="1">
      <c r="A24" s="7" t="s">
        <v>332</v>
      </c>
      <c r="B24" s="39">
        <f t="shared" si="1"/>
        <v>0.55</v>
      </c>
      <c r="D24" s="11" t="s">
        <v>44</v>
      </c>
    </row>
    <row r="25" ht="15.75" customHeight="1">
      <c r="A25" s="7" t="s">
        <v>336</v>
      </c>
      <c r="B25" s="39">
        <f t="shared" si="1"/>
        <v>0.35</v>
      </c>
      <c r="D25" s="11" t="s">
        <v>44</v>
      </c>
    </row>
    <row r="26" ht="15.75" customHeight="1">
      <c r="A26" s="7" t="s">
        <v>339</v>
      </c>
      <c r="B26" s="39">
        <f t="shared" si="1"/>
        <v>0.1</v>
      </c>
      <c r="D26" s="11" t="s">
        <v>44</v>
      </c>
    </row>
    <row r="27" ht="15.75" customHeight="1">
      <c r="A27" s="7" t="s">
        <v>100</v>
      </c>
      <c r="B27" s="45">
        <f t="shared" si="1"/>
        <v>3500</v>
      </c>
      <c r="D27" s="11" t="s">
        <v>54</v>
      </c>
    </row>
    <row r="28" ht="15.75" customHeight="1">
      <c r="A28" s="7" t="s">
        <v>342</v>
      </c>
      <c r="B28" s="45" t="str">
        <f t="shared" si="1"/>
        <v/>
      </c>
      <c r="D28" s="11" t="s">
        <v>54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7:F7"/>
    <mergeCell ref="A19:F19"/>
  </mergeCells>
  <dataValidations>
    <dataValidation type="list" allowBlank="1" sqref="B5">
      <formula1>"Pesimista,Base,Optimista"</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0"/>
    <col customWidth="1" min="2" max="2" width="13.0"/>
    <col customWidth="1" min="3" max="4" width="10.0"/>
    <col customWidth="1" min="5" max="5" width="13.0"/>
    <col customWidth="1" min="6" max="6" width="14.0"/>
    <col customWidth="1" min="7" max="8" width="13.0"/>
    <col customWidth="1" min="9" max="9" width="12.0"/>
    <col customWidth="1" min="10" max="10" width="11.0"/>
    <col customWidth="1" min="11" max="11" width="13.0"/>
    <col customWidth="1" min="12" max="12" width="14.0"/>
    <col customWidth="1" min="13" max="13" width="15.0"/>
    <col customWidth="1" min="14" max="26" width="8.71"/>
  </cols>
  <sheetData>
    <row r="1" ht="25.5" customHeight="1">
      <c r="A1" s="1" t="s">
        <v>365</v>
      </c>
    </row>
    <row r="2" ht="30.0" customHeight="1">
      <c r="A2" s="2" t="s">
        <v>367</v>
      </c>
    </row>
    <row r="4">
      <c r="A4" s="6" t="s">
        <v>369</v>
      </c>
      <c r="B4" s="6" t="s">
        <v>371</v>
      </c>
      <c r="C4" s="6" t="s">
        <v>372</v>
      </c>
      <c r="D4" s="6" t="s">
        <v>373</v>
      </c>
      <c r="E4" s="6" t="s">
        <v>376</v>
      </c>
      <c r="F4" s="6" t="s">
        <v>378</v>
      </c>
      <c r="G4" s="6" t="s">
        <v>379</v>
      </c>
      <c r="H4" s="6" t="s">
        <v>65</v>
      </c>
      <c r="I4" s="6" t="s">
        <v>279</v>
      </c>
      <c r="J4" s="6" t="s">
        <v>380</v>
      </c>
      <c r="K4" s="6" t="s">
        <v>280</v>
      </c>
      <c r="L4" s="6" t="s">
        <v>381</v>
      </c>
      <c r="M4" s="6" t="s">
        <v>382</v>
      </c>
    </row>
    <row r="5">
      <c r="A5" s="7">
        <v>0.0</v>
      </c>
      <c r="B5" s="73">
        <v>0.0</v>
      </c>
      <c r="C5" s="74">
        <v>0.0</v>
      </c>
      <c r="D5" s="74">
        <v>0.0</v>
      </c>
      <c r="E5" s="74">
        <f t="shared" ref="E5:E29" si="1">B5+C5-D5</f>
        <v>0</v>
      </c>
      <c r="L5" s="74" t="str">
        <f>Datos_Pendientes!B15</f>
        <v/>
      </c>
    </row>
    <row r="6">
      <c r="A6" s="7">
        <v>1.0</v>
      </c>
      <c r="B6" s="75">
        <f t="shared" ref="B6:B29" si="2">E5</f>
        <v>0</v>
      </c>
      <c r="C6" s="75">
        <f>IFERROR(ROUND(Escenarios!$B$21*(1+Escenarios!$B$22)^0,1),0)</f>
        <v>4</v>
      </c>
      <c r="D6" s="75">
        <f>IFERROR(ROUND(B6*Escenarios!$B$23,1),0)</f>
        <v>0</v>
      </c>
      <c r="E6" s="75">
        <f t="shared" si="1"/>
        <v>4</v>
      </c>
      <c r="F6" s="14">
        <f>E6*(Supuestos!$B$7*Escenarios!$B$24+Supuestos!$C$7*Escenarios!$B$25+Supuestos!$D$7*Escenarios!$B$26)</f>
        <v>172</v>
      </c>
      <c r="G6" s="14">
        <f>E6*(Unit_Economics!$E$13*Escenarios!$B$24+Unit_Economics!$F$13*Escenarios!$B$25+Unit_Economics!$G$13*Escenarios!$B$26)</f>
        <v>14.9102175</v>
      </c>
      <c r="H6" s="14">
        <f t="shared" ref="H6:H29" si="3">F6-G6</f>
        <v>157.0897825</v>
      </c>
      <c r="I6" s="14">
        <f>Escenarios!$B$27</f>
        <v>3500</v>
      </c>
      <c r="J6" s="14" t="str">
        <f>IFERROR(Escenarios!$B$28,0)</f>
        <v/>
      </c>
      <c r="K6" s="55">
        <f t="shared" ref="K6:K29" si="4">H6-I6-J6</f>
        <v>-3342.910217</v>
      </c>
      <c r="L6" s="55">
        <f t="shared" ref="L6:L29" si="5">L5+K6</f>
        <v>-3342.910217</v>
      </c>
      <c r="M6" s="14">
        <f t="shared" ref="M6:M29" si="6">F6*12</f>
        <v>2064</v>
      </c>
    </row>
    <row r="7">
      <c r="A7" s="7">
        <v>2.0</v>
      </c>
      <c r="B7" s="75">
        <f t="shared" si="2"/>
        <v>4</v>
      </c>
      <c r="C7" s="75">
        <f>IFERROR(ROUND(Escenarios!$B$21*(1+Escenarios!$B$22)^1,1),0)</f>
        <v>4</v>
      </c>
      <c r="D7" s="75">
        <f>IFERROR(ROUND(B7*Escenarios!$B$23,1),0)</f>
        <v>0</v>
      </c>
      <c r="E7" s="75">
        <f t="shared" si="1"/>
        <v>8</v>
      </c>
      <c r="F7" s="14">
        <f>E7*(Supuestos!$B$7*Escenarios!$B$24+Supuestos!$C$7*Escenarios!$B$25+Supuestos!$D$7*Escenarios!$B$26)</f>
        <v>344</v>
      </c>
      <c r="G7" s="14">
        <f>E7*(Unit_Economics!$E$13*Escenarios!$B$24+Unit_Economics!$F$13*Escenarios!$B$25+Unit_Economics!$G$13*Escenarios!$B$26)</f>
        <v>29.82043499</v>
      </c>
      <c r="H7" s="14">
        <f t="shared" si="3"/>
        <v>314.179565</v>
      </c>
      <c r="I7" s="14">
        <f>Escenarios!$B$27</f>
        <v>3500</v>
      </c>
      <c r="J7" s="14" t="str">
        <f>IFERROR(Escenarios!$B$28,0)</f>
        <v/>
      </c>
      <c r="K7" s="55">
        <f t="shared" si="4"/>
        <v>-3185.820435</v>
      </c>
      <c r="L7" s="55">
        <f t="shared" si="5"/>
        <v>-6528.730652</v>
      </c>
      <c r="M7" s="14">
        <f t="shared" si="6"/>
        <v>4128</v>
      </c>
    </row>
    <row r="8">
      <c r="A8" s="7">
        <v>3.0</v>
      </c>
      <c r="B8" s="75">
        <f t="shared" si="2"/>
        <v>8</v>
      </c>
      <c r="C8" s="75">
        <f>IFERROR(ROUND(Escenarios!$B$21*(1+Escenarios!$B$22)^2,1),0)</f>
        <v>4</v>
      </c>
      <c r="D8" s="75">
        <f>IFERROR(ROUND(B8*Escenarios!$B$23,1),0)</f>
        <v>0</v>
      </c>
      <c r="E8" s="75">
        <f t="shared" si="1"/>
        <v>12</v>
      </c>
      <c r="F8" s="14">
        <f>E8*(Supuestos!$B$7*Escenarios!$B$24+Supuestos!$C$7*Escenarios!$B$25+Supuestos!$D$7*Escenarios!$B$26)</f>
        <v>516</v>
      </c>
      <c r="G8" s="14">
        <f>E8*(Unit_Economics!$E$13*Escenarios!$B$24+Unit_Economics!$F$13*Escenarios!$B$25+Unit_Economics!$G$13*Escenarios!$B$26)</f>
        <v>44.73065249</v>
      </c>
      <c r="H8" s="14">
        <f t="shared" si="3"/>
        <v>471.2693475</v>
      </c>
      <c r="I8" s="14">
        <f>Escenarios!$B$27</f>
        <v>3500</v>
      </c>
      <c r="J8" s="14" t="str">
        <f>IFERROR(Escenarios!$B$28,0)</f>
        <v/>
      </c>
      <c r="K8" s="55">
        <f t="shared" si="4"/>
        <v>-3028.730652</v>
      </c>
      <c r="L8" s="55">
        <f t="shared" si="5"/>
        <v>-9557.461305</v>
      </c>
      <c r="M8" s="14">
        <f t="shared" si="6"/>
        <v>6192</v>
      </c>
    </row>
    <row r="9">
      <c r="A9" s="7">
        <v>4.0</v>
      </c>
      <c r="B9" s="75">
        <f t="shared" si="2"/>
        <v>12</v>
      </c>
      <c r="C9" s="75">
        <f>IFERROR(ROUND(Escenarios!$B$21*(1+Escenarios!$B$22)^3,1),0)</f>
        <v>4</v>
      </c>
      <c r="D9" s="75">
        <f>IFERROR(ROUND(B9*Escenarios!$B$23,1),0)</f>
        <v>0</v>
      </c>
      <c r="E9" s="75">
        <f t="shared" si="1"/>
        <v>16</v>
      </c>
      <c r="F9" s="14">
        <f>E9*(Supuestos!$B$7*Escenarios!$B$24+Supuestos!$C$7*Escenarios!$B$25+Supuestos!$D$7*Escenarios!$B$26)</f>
        <v>688</v>
      </c>
      <c r="G9" s="14">
        <f>E9*(Unit_Economics!$E$13*Escenarios!$B$24+Unit_Economics!$F$13*Escenarios!$B$25+Unit_Economics!$G$13*Escenarios!$B$26)</f>
        <v>59.64086998</v>
      </c>
      <c r="H9" s="14">
        <f t="shared" si="3"/>
        <v>628.35913</v>
      </c>
      <c r="I9" s="14">
        <f>Escenarios!$B$27</f>
        <v>3500</v>
      </c>
      <c r="J9" s="14" t="str">
        <f>IFERROR(Escenarios!$B$28,0)</f>
        <v/>
      </c>
      <c r="K9" s="55">
        <f t="shared" si="4"/>
        <v>-2871.64087</v>
      </c>
      <c r="L9" s="55">
        <f t="shared" si="5"/>
        <v>-12429.10217</v>
      </c>
      <c r="M9" s="14">
        <f t="shared" si="6"/>
        <v>8256</v>
      </c>
    </row>
    <row r="10">
      <c r="A10" s="7">
        <v>5.0</v>
      </c>
      <c r="B10" s="75">
        <f t="shared" si="2"/>
        <v>16</v>
      </c>
      <c r="C10" s="75">
        <f>IFERROR(ROUND(Escenarios!$B$21*(1+Escenarios!$B$22)^4,1),0)</f>
        <v>4</v>
      </c>
      <c r="D10" s="75">
        <f>IFERROR(ROUND(B10*Escenarios!$B$23,1),0)</f>
        <v>0</v>
      </c>
      <c r="E10" s="75">
        <f t="shared" si="1"/>
        <v>20</v>
      </c>
      <c r="F10" s="14">
        <f>E10*(Supuestos!$B$7*Escenarios!$B$24+Supuestos!$C$7*Escenarios!$B$25+Supuestos!$D$7*Escenarios!$B$26)</f>
        <v>860</v>
      </c>
      <c r="G10" s="14">
        <f>E10*(Unit_Economics!$E$13*Escenarios!$B$24+Unit_Economics!$F$13*Escenarios!$B$25+Unit_Economics!$G$13*Escenarios!$B$26)</f>
        <v>74.55108748</v>
      </c>
      <c r="H10" s="14">
        <f t="shared" si="3"/>
        <v>785.4489125</v>
      </c>
      <c r="I10" s="14">
        <f>Escenarios!$B$27</f>
        <v>3500</v>
      </c>
      <c r="J10" s="14" t="str">
        <f>IFERROR(Escenarios!$B$28,0)</f>
        <v/>
      </c>
      <c r="K10" s="55">
        <f t="shared" si="4"/>
        <v>-2714.551087</v>
      </c>
      <c r="L10" s="55">
        <f t="shared" si="5"/>
        <v>-15143.65326</v>
      </c>
      <c r="M10" s="14">
        <f t="shared" si="6"/>
        <v>10320</v>
      </c>
    </row>
    <row r="11">
      <c r="A11" s="7">
        <v>6.0</v>
      </c>
      <c r="B11" s="75">
        <f t="shared" si="2"/>
        <v>20</v>
      </c>
      <c r="C11" s="75">
        <f>IFERROR(ROUND(Escenarios!$B$21*(1+Escenarios!$B$22)^5,1),0)</f>
        <v>4</v>
      </c>
      <c r="D11" s="75">
        <f>IFERROR(ROUND(B11*Escenarios!$B$23,1),0)</f>
        <v>0</v>
      </c>
      <c r="E11" s="75">
        <f t="shared" si="1"/>
        <v>24</v>
      </c>
      <c r="F11" s="14">
        <f>E11*(Supuestos!$B$7*Escenarios!$B$24+Supuestos!$C$7*Escenarios!$B$25+Supuestos!$D$7*Escenarios!$B$26)</f>
        <v>1032</v>
      </c>
      <c r="G11" s="14">
        <f>E11*(Unit_Economics!$E$13*Escenarios!$B$24+Unit_Economics!$F$13*Escenarios!$B$25+Unit_Economics!$G$13*Escenarios!$B$26)</f>
        <v>89.46130497</v>
      </c>
      <c r="H11" s="14">
        <f t="shared" si="3"/>
        <v>942.538695</v>
      </c>
      <c r="I11" s="14">
        <f>Escenarios!$B$27</f>
        <v>3500</v>
      </c>
      <c r="J11" s="14" t="str">
        <f>IFERROR(Escenarios!$B$28,0)</f>
        <v/>
      </c>
      <c r="K11" s="55">
        <f t="shared" si="4"/>
        <v>-2557.461305</v>
      </c>
      <c r="L11" s="55">
        <f t="shared" si="5"/>
        <v>-17701.11457</v>
      </c>
      <c r="M11" s="14">
        <f t="shared" si="6"/>
        <v>12384</v>
      </c>
    </row>
    <row r="12">
      <c r="A12" s="7">
        <v>7.0</v>
      </c>
      <c r="B12" s="75">
        <f t="shared" si="2"/>
        <v>24</v>
      </c>
      <c r="C12" s="75">
        <f>IFERROR(ROUND(Escenarios!$B$21*(1+Escenarios!$B$22)^6,1),0)</f>
        <v>4</v>
      </c>
      <c r="D12" s="75">
        <f>IFERROR(ROUND(B12*Escenarios!$B$23,1),0)</f>
        <v>0</v>
      </c>
      <c r="E12" s="75">
        <f t="shared" si="1"/>
        <v>28</v>
      </c>
      <c r="F12" s="14">
        <f>E12*(Supuestos!$B$7*Escenarios!$B$24+Supuestos!$C$7*Escenarios!$B$25+Supuestos!$D$7*Escenarios!$B$26)</f>
        <v>1204</v>
      </c>
      <c r="G12" s="14">
        <f>E12*(Unit_Economics!$E$13*Escenarios!$B$24+Unit_Economics!$F$13*Escenarios!$B$25+Unit_Economics!$G$13*Escenarios!$B$26)</f>
        <v>104.3715225</v>
      </c>
      <c r="H12" s="14">
        <f t="shared" si="3"/>
        <v>1099.628478</v>
      </c>
      <c r="I12" s="14">
        <f>Escenarios!$B$27</f>
        <v>3500</v>
      </c>
      <c r="J12" s="14" t="str">
        <f>IFERROR(Escenarios!$B$28,0)</f>
        <v/>
      </c>
      <c r="K12" s="55">
        <f t="shared" si="4"/>
        <v>-2400.371522</v>
      </c>
      <c r="L12" s="55">
        <f t="shared" si="5"/>
        <v>-20101.48609</v>
      </c>
      <c r="M12" s="14">
        <f t="shared" si="6"/>
        <v>14448</v>
      </c>
    </row>
    <row r="13">
      <c r="A13" s="7">
        <v>8.0</v>
      </c>
      <c r="B13" s="75">
        <f t="shared" si="2"/>
        <v>28</v>
      </c>
      <c r="C13" s="75">
        <f>IFERROR(ROUND(Escenarios!$B$21*(1+Escenarios!$B$22)^7,1),0)</f>
        <v>4</v>
      </c>
      <c r="D13" s="75">
        <f>IFERROR(ROUND(B13*Escenarios!$B$23,1),0)</f>
        <v>0</v>
      </c>
      <c r="E13" s="75">
        <f t="shared" si="1"/>
        <v>32</v>
      </c>
      <c r="F13" s="14">
        <f>E13*(Supuestos!$B$7*Escenarios!$B$24+Supuestos!$C$7*Escenarios!$B$25+Supuestos!$D$7*Escenarios!$B$26)</f>
        <v>1376</v>
      </c>
      <c r="G13" s="14">
        <f>E13*(Unit_Economics!$E$13*Escenarios!$B$24+Unit_Economics!$F$13*Escenarios!$B$25+Unit_Economics!$G$13*Escenarios!$B$26)</f>
        <v>119.28174</v>
      </c>
      <c r="H13" s="14">
        <f t="shared" si="3"/>
        <v>1256.71826</v>
      </c>
      <c r="I13" s="14">
        <f>Escenarios!$B$27</f>
        <v>3500</v>
      </c>
      <c r="J13" s="14" t="str">
        <f>IFERROR(Escenarios!$B$28,0)</f>
        <v/>
      </c>
      <c r="K13" s="55">
        <f t="shared" si="4"/>
        <v>-2243.28174</v>
      </c>
      <c r="L13" s="55">
        <f t="shared" si="5"/>
        <v>-22344.76783</v>
      </c>
      <c r="M13" s="14">
        <f t="shared" si="6"/>
        <v>16512</v>
      </c>
    </row>
    <row r="14">
      <c r="A14" s="7">
        <v>9.0</v>
      </c>
      <c r="B14" s="75">
        <f t="shared" si="2"/>
        <v>32</v>
      </c>
      <c r="C14" s="75">
        <f>IFERROR(ROUND(Escenarios!$B$21*(1+Escenarios!$B$22)^8,1),0)</f>
        <v>4</v>
      </c>
      <c r="D14" s="75">
        <f>IFERROR(ROUND(B14*Escenarios!$B$23,1),0)</f>
        <v>0</v>
      </c>
      <c r="E14" s="75">
        <f t="shared" si="1"/>
        <v>36</v>
      </c>
      <c r="F14" s="14">
        <f>E14*(Supuestos!$B$7*Escenarios!$B$24+Supuestos!$C$7*Escenarios!$B$25+Supuestos!$D$7*Escenarios!$B$26)</f>
        <v>1548</v>
      </c>
      <c r="G14" s="14">
        <f>E14*(Unit_Economics!$E$13*Escenarios!$B$24+Unit_Economics!$F$13*Escenarios!$B$25+Unit_Economics!$G$13*Escenarios!$B$26)</f>
        <v>134.1919575</v>
      </c>
      <c r="H14" s="14">
        <f t="shared" si="3"/>
        <v>1413.808043</v>
      </c>
      <c r="I14" s="14">
        <f>Escenarios!$B$27</f>
        <v>3500</v>
      </c>
      <c r="J14" s="14" t="str">
        <f>IFERROR(Escenarios!$B$28,0)</f>
        <v/>
      </c>
      <c r="K14" s="55">
        <f t="shared" si="4"/>
        <v>-2086.191957</v>
      </c>
      <c r="L14" s="55">
        <f t="shared" si="5"/>
        <v>-24430.95979</v>
      </c>
      <c r="M14" s="14">
        <f t="shared" si="6"/>
        <v>18576</v>
      </c>
    </row>
    <row r="15">
      <c r="A15" s="7">
        <v>10.0</v>
      </c>
      <c r="B15" s="75">
        <f t="shared" si="2"/>
        <v>36</v>
      </c>
      <c r="C15" s="75">
        <f>IFERROR(ROUND(Escenarios!$B$21*(1+Escenarios!$B$22)^9,1),0)</f>
        <v>4</v>
      </c>
      <c r="D15" s="75">
        <f>IFERROR(ROUND(B15*Escenarios!$B$23,1),0)</f>
        <v>0</v>
      </c>
      <c r="E15" s="75">
        <f t="shared" si="1"/>
        <v>40</v>
      </c>
      <c r="F15" s="14">
        <f>E15*(Supuestos!$B$7*Escenarios!$B$24+Supuestos!$C$7*Escenarios!$B$25+Supuestos!$D$7*Escenarios!$B$26)</f>
        <v>1720</v>
      </c>
      <c r="G15" s="14">
        <f>E15*(Unit_Economics!$E$13*Escenarios!$B$24+Unit_Economics!$F$13*Escenarios!$B$25+Unit_Economics!$G$13*Escenarios!$B$26)</f>
        <v>149.102175</v>
      </c>
      <c r="H15" s="14">
        <f t="shared" si="3"/>
        <v>1570.897825</v>
      </c>
      <c r="I15" s="14">
        <f>Escenarios!$B$27</f>
        <v>3500</v>
      </c>
      <c r="J15" s="14" t="str">
        <f>IFERROR(Escenarios!$B$28,0)</f>
        <v/>
      </c>
      <c r="K15" s="55">
        <f t="shared" si="4"/>
        <v>-1929.102175</v>
      </c>
      <c r="L15" s="55">
        <f t="shared" si="5"/>
        <v>-26360.06196</v>
      </c>
      <c r="M15" s="14">
        <f t="shared" si="6"/>
        <v>20640</v>
      </c>
    </row>
    <row r="16">
      <c r="A16" s="7">
        <v>11.0</v>
      </c>
      <c r="B16" s="75">
        <f t="shared" si="2"/>
        <v>40</v>
      </c>
      <c r="C16" s="75">
        <f>IFERROR(ROUND(Escenarios!$B$21*(1+Escenarios!$B$22)^10,1),0)</f>
        <v>4</v>
      </c>
      <c r="D16" s="75">
        <f>IFERROR(ROUND(B16*Escenarios!$B$23,1),0)</f>
        <v>0</v>
      </c>
      <c r="E16" s="75">
        <f t="shared" si="1"/>
        <v>44</v>
      </c>
      <c r="F16" s="14">
        <f>E16*(Supuestos!$B$7*Escenarios!$B$24+Supuestos!$C$7*Escenarios!$B$25+Supuestos!$D$7*Escenarios!$B$26)</f>
        <v>1892</v>
      </c>
      <c r="G16" s="14">
        <f>E16*(Unit_Economics!$E$13*Escenarios!$B$24+Unit_Economics!$F$13*Escenarios!$B$25+Unit_Economics!$G$13*Escenarios!$B$26)</f>
        <v>164.0123924</v>
      </c>
      <c r="H16" s="14">
        <f t="shared" si="3"/>
        <v>1727.987608</v>
      </c>
      <c r="I16" s="14">
        <f>Escenarios!$B$27</f>
        <v>3500</v>
      </c>
      <c r="J16" s="14" t="str">
        <f>IFERROR(Escenarios!$B$28,0)</f>
        <v/>
      </c>
      <c r="K16" s="55">
        <f t="shared" si="4"/>
        <v>-1772.012392</v>
      </c>
      <c r="L16" s="55">
        <f t="shared" si="5"/>
        <v>-28132.07435</v>
      </c>
      <c r="M16" s="14">
        <f t="shared" si="6"/>
        <v>22704</v>
      </c>
    </row>
    <row r="17">
      <c r="A17" s="7">
        <v>12.0</v>
      </c>
      <c r="B17" s="75">
        <f t="shared" si="2"/>
        <v>44</v>
      </c>
      <c r="C17" s="75">
        <f>IFERROR(ROUND(Escenarios!$B$21*(1+Escenarios!$B$22)^11,1),0)</f>
        <v>4</v>
      </c>
      <c r="D17" s="75">
        <f>IFERROR(ROUND(B17*Escenarios!$B$23,1),0)</f>
        <v>0</v>
      </c>
      <c r="E17" s="75">
        <f t="shared" si="1"/>
        <v>48</v>
      </c>
      <c r="F17" s="14">
        <f>E17*(Supuestos!$B$7*Escenarios!$B$24+Supuestos!$C$7*Escenarios!$B$25+Supuestos!$D$7*Escenarios!$B$26)</f>
        <v>2064</v>
      </c>
      <c r="G17" s="14">
        <f>E17*(Unit_Economics!$E$13*Escenarios!$B$24+Unit_Economics!$F$13*Escenarios!$B$25+Unit_Economics!$G$13*Escenarios!$B$26)</f>
        <v>178.9226099</v>
      </c>
      <c r="H17" s="14">
        <f t="shared" si="3"/>
        <v>1885.07739</v>
      </c>
      <c r="I17" s="14">
        <f>Escenarios!$B$27</f>
        <v>3500</v>
      </c>
      <c r="J17" s="14" t="str">
        <f>IFERROR(Escenarios!$B$28,0)</f>
        <v/>
      </c>
      <c r="K17" s="55">
        <f t="shared" si="4"/>
        <v>-1614.92261</v>
      </c>
      <c r="L17" s="55">
        <f t="shared" si="5"/>
        <v>-29746.99696</v>
      </c>
      <c r="M17" s="14">
        <f t="shared" si="6"/>
        <v>24768</v>
      </c>
    </row>
    <row r="18">
      <c r="A18" s="7">
        <v>13.0</v>
      </c>
      <c r="B18" s="75">
        <f t="shared" si="2"/>
        <v>48</v>
      </c>
      <c r="C18" s="75">
        <f>IFERROR(ROUND(Escenarios!$B$21*(1+Escenarios!$B$22)^12,1),0)</f>
        <v>4</v>
      </c>
      <c r="D18" s="75">
        <f>IFERROR(ROUND(B18*Escenarios!$B$23,1),0)</f>
        <v>0</v>
      </c>
      <c r="E18" s="75">
        <f t="shared" si="1"/>
        <v>52</v>
      </c>
      <c r="F18" s="14">
        <f>E18*(Supuestos!$B$7*Escenarios!$B$24+Supuestos!$C$7*Escenarios!$B$25+Supuestos!$D$7*Escenarios!$B$26)</f>
        <v>2236</v>
      </c>
      <c r="G18" s="14">
        <f>E18*(Unit_Economics!$E$13*Escenarios!$B$24+Unit_Economics!$F$13*Escenarios!$B$25+Unit_Economics!$G$13*Escenarios!$B$26)</f>
        <v>193.8328274</v>
      </c>
      <c r="H18" s="14">
        <f t="shared" si="3"/>
        <v>2042.167173</v>
      </c>
      <c r="I18" s="14">
        <f>Escenarios!$B$27</f>
        <v>3500</v>
      </c>
      <c r="J18" s="14" t="str">
        <f>IFERROR(Escenarios!$B$28,0)</f>
        <v/>
      </c>
      <c r="K18" s="55">
        <f t="shared" si="4"/>
        <v>-1457.832827</v>
      </c>
      <c r="L18" s="55">
        <f t="shared" si="5"/>
        <v>-31204.82979</v>
      </c>
      <c r="M18" s="14">
        <f t="shared" si="6"/>
        <v>26832</v>
      </c>
    </row>
    <row r="19">
      <c r="A19" s="7">
        <v>14.0</v>
      </c>
      <c r="B19" s="75">
        <f t="shared" si="2"/>
        <v>52</v>
      </c>
      <c r="C19" s="75">
        <f>IFERROR(ROUND(Escenarios!$B$21*(1+Escenarios!$B$22)^13,1),0)</f>
        <v>4</v>
      </c>
      <c r="D19" s="75">
        <f>IFERROR(ROUND(B19*Escenarios!$B$23,1),0)</f>
        <v>0</v>
      </c>
      <c r="E19" s="75">
        <f t="shared" si="1"/>
        <v>56</v>
      </c>
      <c r="F19" s="14">
        <f>E19*(Supuestos!$B$7*Escenarios!$B$24+Supuestos!$C$7*Escenarios!$B$25+Supuestos!$D$7*Escenarios!$B$26)</f>
        <v>2408</v>
      </c>
      <c r="G19" s="14">
        <f>E19*(Unit_Economics!$E$13*Escenarios!$B$24+Unit_Economics!$F$13*Escenarios!$B$25+Unit_Economics!$G$13*Escenarios!$B$26)</f>
        <v>208.7430449</v>
      </c>
      <c r="H19" s="14">
        <f t="shared" si="3"/>
        <v>2199.256955</v>
      </c>
      <c r="I19" s="14">
        <f>Escenarios!$B$27</f>
        <v>3500</v>
      </c>
      <c r="J19" s="14" t="str">
        <f>IFERROR(Escenarios!$B$28,0)</f>
        <v/>
      </c>
      <c r="K19" s="55">
        <f t="shared" si="4"/>
        <v>-1300.743045</v>
      </c>
      <c r="L19" s="55">
        <f t="shared" si="5"/>
        <v>-32505.57284</v>
      </c>
      <c r="M19" s="14">
        <f t="shared" si="6"/>
        <v>28896</v>
      </c>
    </row>
    <row r="20">
      <c r="A20" s="7">
        <v>15.0</v>
      </c>
      <c r="B20" s="75">
        <f t="shared" si="2"/>
        <v>56</v>
      </c>
      <c r="C20" s="75">
        <f>IFERROR(ROUND(Escenarios!$B$21*(1+Escenarios!$B$22)^14,1),0)</f>
        <v>4</v>
      </c>
      <c r="D20" s="75">
        <f>IFERROR(ROUND(B20*Escenarios!$B$23,1),0)</f>
        <v>0</v>
      </c>
      <c r="E20" s="75">
        <f t="shared" si="1"/>
        <v>60</v>
      </c>
      <c r="F20" s="14">
        <f>E20*(Supuestos!$B$7*Escenarios!$B$24+Supuestos!$C$7*Escenarios!$B$25+Supuestos!$D$7*Escenarios!$B$26)</f>
        <v>2580</v>
      </c>
      <c r="G20" s="14">
        <f>E20*(Unit_Economics!$E$13*Escenarios!$B$24+Unit_Economics!$F$13*Escenarios!$B$25+Unit_Economics!$G$13*Escenarios!$B$26)</f>
        <v>223.6532624</v>
      </c>
      <c r="H20" s="14">
        <f t="shared" si="3"/>
        <v>2356.346738</v>
      </c>
      <c r="I20" s="14">
        <f>Escenarios!$B$27</f>
        <v>3500</v>
      </c>
      <c r="J20" s="14" t="str">
        <f>IFERROR(Escenarios!$B$28,0)</f>
        <v/>
      </c>
      <c r="K20" s="55">
        <f t="shared" si="4"/>
        <v>-1143.653262</v>
      </c>
      <c r="L20" s="55">
        <f t="shared" si="5"/>
        <v>-33649.2261</v>
      </c>
      <c r="M20" s="14">
        <f t="shared" si="6"/>
        <v>30960</v>
      </c>
    </row>
    <row r="21" ht="15.75" customHeight="1">
      <c r="A21" s="7">
        <v>16.0</v>
      </c>
      <c r="B21" s="75">
        <f t="shared" si="2"/>
        <v>60</v>
      </c>
      <c r="C21" s="75">
        <f>IFERROR(ROUND(Escenarios!$B$21*(1+Escenarios!$B$22)^15,1),0)</f>
        <v>4</v>
      </c>
      <c r="D21" s="75">
        <f>IFERROR(ROUND(B21*Escenarios!$B$23,1),0)</f>
        <v>0</v>
      </c>
      <c r="E21" s="75">
        <f t="shared" si="1"/>
        <v>64</v>
      </c>
      <c r="F21" s="14">
        <f>E21*(Supuestos!$B$7*Escenarios!$B$24+Supuestos!$C$7*Escenarios!$B$25+Supuestos!$D$7*Escenarios!$B$26)</f>
        <v>2752</v>
      </c>
      <c r="G21" s="14">
        <f>E21*(Unit_Economics!$E$13*Escenarios!$B$24+Unit_Economics!$F$13*Escenarios!$B$25+Unit_Economics!$G$13*Escenarios!$B$26)</f>
        <v>238.5634799</v>
      </c>
      <c r="H21" s="14">
        <f t="shared" si="3"/>
        <v>2513.43652</v>
      </c>
      <c r="I21" s="14">
        <f>Escenarios!$B$27</f>
        <v>3500</v>
      </c>
      <c r="J21" s="14" t="str">
        <f>IFERROR(Escenarios!$B$28,0)</f>
        <v/>
      </c>
      <c r="K21" s="55">
        <f t="shared" si="4"/>
        <v>-986.5634799</v>
      </c>
      <c r="L21" s="55">
        <f t="shared" si="5"/>
        <v>-34635.78958</v>
      </c>
      <c r="M21" s="14">
        <f t="shared" si="6"/>
        <v>33024</v>
      </c>
    </row>
    <row r="22" ht="15.75" customHeight="1">
      <c r="A22" s="7">
        <v>17.0</v>
      </c>
      <c r="B22" s="75">
        <f t="shared" si="2"/>
        <v>64</v>
      </c>
      <c r="C22" s="75">
        <f>IFERROR(ROUND(Escenarios!$B$21*(1+Escenarios!$B$22)^16,1),0)</f>
        <v>4</v>
      </c>
      <c r="D22" s="75">
        <f>IFERROR(ROUND(B22*Escenarios!$B$23,1),0)</f>
        <v>0</v>
      </c>
      <c r="E22" s="75">
        <f t="shared" si="1"/>
        <v>68</v>
      </c>
      <c r="F22" s="14">
        <f>E22*(Supuestos!$B$7*Escenarios!$B$24+Supuestos!$C$7*Escenarios!$B$25+Supuestos!$D$7*Escenarios!$B$26)</f>
        <v>2924</v>
      </c>
      <c r="G22" s="14">
        <f>E22*(Unit_Economics!$E$13*Escenarios!$B$24+Unit_Economics!$F$13*Escenarios!$B$25+Unit_Economics!$G$13*Escenarios!$B$26)</f>
        <v>253.4736974</v>
      </c>
      <c r="H22" s="14">
        <f t="shared" si="3"/>
        <v>2670.526303</v>
      </c>
      <c r="I22" s="14">
        <f>Escenarios!$B$27</f>
        <v>3500</v>
      </c>
      <c r="J22" s="14" t="str">
        <f>IFERROR(Escenarios!$B$28,0)</f>
        <v/>
      </c>
      <c r="K22" s="55">
        <f t="shared" si="4"/>
        <v>-829.4736974</v>
      </c>
      <c r="L22" s="55">
        <f t="shared" si="5"/>
        <v>-35465.26328</v>
      </c>
      <c r="M22" s="14">
        <f t="shared" si="6"/>
        <v>35088</v>
      </c>
    </row>
    <row r="23" ht="15.75" customHeight="1">
      <c r="A23" s="7">
        <v>18.0</v>
      </c>
      <c r="B23" s="75">
        <f t="shared" si="2"/>
        <v>68</v>
      </c>
      <c r="C23" s="75">
        <f>IFERROR(ROUND(Escenarios!$B$21*(1+Escenarios!$B$22)^17,1),0)</f>
        <v>4</v>
      </c>
      <c r="D23" s="75">
        <f>IFERROR(ROUND(B23*Escenarios!$B$23,1),0)</f>
        <v>0</v>
      </c>
      <c r="E23" s="75">
        <f t="shared" si="1"/>
        <v>72</v>
      </c>
      <c r="F23" s="14">
        <f>E23*(Supuestos!$B$7*Escenarios!$B$24+Supuestos!$C$7*Escenarios!$B$25+Supuestos!$D$7*Escenarios!$B$26)</f>
        <v>3096</v>
      </c>
      <c r="G23" s="14">
        <f>E23*(Unit_Economics!$E$13*Escenarios!$B$24+Unit_Economics!$F$13*Escenarios!$B$25+Unit_Economics!$G$13*Escenarios!$B$26)</f>
        <v>268.3839149</v>
      </c>
      <c r="H23" s="14">
        <f t="shared" si="3"/>
        <v>2827.616085</v>
      </c>
      <c r="I23" s="14">
        <f>Escenarios!$B$27</f>
        <v>3500</v>
      </c>
      <c r="J23" s="14" t="str">
        <f>IFERROR(Escenarios!$B$28,0)</f>
        <v/>
      </c>
      <c r="K23" s="55">
        <f t="shared" si="4"/>
        <v>-672.3839149</v>
      </c>
      <c r="L23" s="55">
        <f t="shared" si="5"/>
        <v>-36137.64719</v>
      </c>
      <c r="M23" s="14">
        <f t="shared" si="6"/>
        <v>37152</v>
      </c>
    </row>
    <row r="24" ht="15.75" customHeight="1">
      <c r="A24" s="7">
        <v>19.0</v>
      </c>
      <c r="B24" s="75">
        <f t="shared" si="2"/>
        <v>72</v>
      </c>
      <c r="C24" s="75">
        <f>IFERROR(ROUND(Escenarios!$B$21*(1+Escenarios!$B$22)^18,1),0)</f>
        <v>4</v>
      </c>
      <c r="D24" s="75">
        <f>IFERROR(ROUND(B24*Escenarios!$B$23,1),0)</f>
        <v>0</v>
      </c>
      <c r="E24" s="75">
        <f t="shared" si="1"/>
        <v>76</v>
      </c>
      <c r="F24" s="14">
        <f>E24*(Supuestos!$B$7*Escenarios!$B$24+Supuestos!$C$7*Escenarios!$B$25+Supuestos!$D$7*Escenarios!$B$26)</f>
        <v>3268</v>
      </c>
      <c r="G24" s="14">
        <f>E24*(Unit_Economics!$E$13*Escenarios!$B$24+Unit_Economics!$F$13*Escenarios!$B$25+Unit_Economics!$G$13*Escenarios!$B$26)</f>
        <v>283.2941324</v>
      </c>
      <c r="H24" s="14">
        <f t="shared" si="3"/>
        <v>2984.705868</v>
      </c>
      <c r="I24" s="14">
        <f>Escenarios!$B$27</f>
        <v>3500</v>
      </c>
      <c r="J24" s="14" t="str">
        <f>IFERROR(Escenarios!$B$28,0)</f>
        <v/>
      </c>
      <c r="K24" s="55">
        <f t="shared" si="4"/>
        <v>-515.2941324</v>
      </c>
      <c r="L24" s="55">
        <f t="shared" si="5"/>
        <v>-36652.94132</v>
      </c>
      <c r="M24" s="14">
        <f t="shared" si="6"/>
        <v>39216</v>
      </c>
    </row>
    <row r="25" ht="15.75" customHeight="1">
      <c r="A25" s="7">
        <v>20.0</v>
      </c>
      <c r="B25" s="75">
        <f t="shared" si="2"/>
        <v>76</v>
      </c>
      <c r="C25" s="75">
        <f>IFERROR(ROUND(Escenarios!$B$21*(1+Escenarios!$B$22)^19,1),0)</f>
        <v>4</v>
      </c>
      <c r="D25" s="75">
        <f>IFERROR(ROUND(B25*Escenarios!$B$23,1),0)</f>
        <v>0</v>
      </c>
      <c r="E25" s="75">
        <f t="shared" si="1"/>
        <v>80</v>
      </c>
      <c r="F25" s="14">
        <f>E25*(Supuestos!$B$7*Escenarios!$B$24+Supuestos!$C$7*Escenarios!$B$25+Supuestos!$D$7*Escenarios!$B$26)</f>
        <v>3440</v>
      </c>
      <c r="G25" s="14">
        <f>E25*(Unit_Economics!$E$13*Escenarios!$B$24+Unit_Economics!$F$13*Escenarios!$B$25+Unit_Economics!$G$13*Escenarios!$B$26)</f>
        <v>298.2043499</v>
      </c>
      <c r="H25" s="14">
        <f t="shared" si="3"/>
        <v>3141.79565</v>
      </c>
      <c r="I25" s="14">
        <f>Escenarios!$B$27</f>
        <v>3500</v>
      </c>
      <c r="J25" s="14" t="str">
        <f>IFERROR(Escenarios!$B$28,0)</f>
        <v/>
      </c>
      <c r="K25" s="55">
        <f t="shared" si="4"/>
        <v>-358.2043499</v>
      </c>
      <c r="L25" s="55">
        <f t="shared" si="5"/>
        <v>-37011.14567</v>
      </c>
      <c r="M25" s="14">
        <f t="shared" si="6"/>
        <v>41280</v>
      </c>
    </row>
    <row r="26" ht="15.75" customHeight="1">
      <c r="A26" s="7">
        <v>21.0</v>
      </c>
      <c r="B26" s="75">
        <f t="shared" si="2"/>
        <v>80</v>
      </c>
      <c r="C26" s="75">
        <f>IFERROR(ROUND(Escenarios!$B$21*(1+Escenarios!$B$22)^20,1),0)</f>
        <v>4</v>
      </c>
      <c r="D26" s="75">
        <f>IFERROR(ROUND(B26*Escenarios!$B$23,1),0)</f>
        <v>0</v>
      </c>
      <c r="E26" s="75">
        <f t="shared" si="1"/>
        <v>84</v>
      </c>
      <c r="F26" s="14">
        <f>E26*(Supuestos!$B$7*Escenarios!$B$24+Supuestos!$C$7*Escenarios!$B$25+Supuestos!$D$7*Escenarios!$B$26)</f>
        <v>3612</v>
      </c>
      <c r="G26" s="14">
        <f>E26*(Unit_Economics!$E$13*Escenarios!$B$24+Unit_Economics!$F$13*Escenarios!$B$25+Unit_Economics!$G$13*Escenarios!$B$26)</f>
        <v>313.1145674</v>
      </c>
      <c r="H26" s="14">
        <f t="shared" si="3"/>
        <v>3298.885433</v>
      </c>
      <c r="I26" s="14">
        <f>Escenarios!$B$27</f>
        <v>3500</v>
      </c>
      <c r="J26" s="14" t="str">
        <f>IFERROR(Escenarios!$B$28,0)</f>
        <v/>
      </c>
      <c r="K26" s="55">
        <f t="shared" si="4"/>
        <v>-201.1145674</v>
      </c>
      <c r="L26" s="55">
        <f t="shared" si="5"/>
        <v>-37212.26024</v>
      </c>
      <c r="M26" s="14">
        <f t="shared" si="6"/>
        <v>43344</v>
      </c>
    </row>
    <row r="27" ht="15.75" customHeight="1">
      <c r="A27" s="7">
        <v>22.0</v>
      </c>
      <c r="B27" s="75">
        <f t="shared" si="2"/>
        <v>84</v>
      </c>
      <c r="C27" s="75">
        <f>IFERROR(ROUND(Escenarios!$B$21*(1+Escenarios!$B$22)^21,1),0)</f>
        <v>4</v>
      </c>
      <c r="D27" s="75">
        <f>IFERROR(ROUND(B27*Escenarios!$B$23,1),0)</f>
        <v>0</v>
      </c>
      <c r="E27" s="75">
        <f t="shared" si="1"/>
        <v>88</v>
      </c>
      <c r="F27" s="14">
        <f>E27*(Supuestos!$B$7*Escenarios!$B$24+Supuestos!$C$7*Escenarios!$B$25+Supuestos!$D$7*Escenarios!$B$26)</f>
        <v>3784</v>
      </c>
      <c r="G27" s="14">
        <f>E27*(Unit_Economics!$E$13*Escenarios!$B$24+Unit_Economics!$F$13*Escenarios!$B$25+Unit_Economics!$G$13*Escenarios!$B$26)</f>
        <v>328.0247849</v>
      </c>
      <c r="H27" s="14">
        <f t="shared" si="3"/>
        <v>3455.975215</v>
      </c>
      <c r="I27" s="14">
        <f>Escenarios!$B$27</f>
        <v>3500</v>
      </c>
      <c r="J27" s="14" t="str">
        <f>IFERROR(Escenarios!$B$28,0)</f>
        <v/>
      </c>
      <c r="K27" s="55">
        <f t="shared" si="4"/>
        <v>-44.0247849</v>
      </c>
      <c r="L27" s="55">
        <f t="shared" si="5"/>
        <v>-37256.28503</v>
      </c>
      <c r="M27" s="14">
        <f t="shared" si="6"/>
        <v>45408</v>
      </c>
    </row>
    <row r="28" ht="15.75" customHeight="1">
      <c r="A28" s="7">
        <v>23.0</v>
      </c>
      <c r="B28" s="75">
        <f t="shared" si="2"/>
        <v>88</v>
      </c>
      <c r="C28" s="75">
        <f>IFERROR(ROUND(Escenarios!$B$21*(1+Escenarios!$B$22)^22,1),0)</f>
        <v>4</v>
      </c>
      <c r="D28" s="75">
        <f>IFERROR(ROUND(B28*Escenarios!$B$23,1),0)</f>
        <v>0</v>
      </c>
      <c r="E28" s="75">
        <f t="shared" si="1"/>
        <v>92</v>
      </c>
      <c r="F28" s="14">
        <f>E28*(Supuestos!$B$7*Escenarios!$B$24+Supuestos!$C$7*Escenarios!$B$25+Supuestos!$D$7*Escenarios!$B$26)</f>
        <v>3956</v>
      </c>
      <c r="G28" s="14">
        <f>E28*(Unit_Economics!$E$13*Escenarios!$B$24+Unit_Economics!$F$13*Escenarios!$B$25+Unit_Economics!$G$13*Escenarios!$B$26)</f>
        <v>342.9350024</v>
      </c>
      <c r="H28" s="14">
        <f t="shared" si="3"/>
        <v>3613.064998</v>
      </c>
      <c r="I28" s="14">
        <f>Escenarios!$B$27</f>
        <v>3500</v>
      </c>
      <c r="J28" s="14" t="str">
        <f>IFERROR(Escenarios!$B$28,0)</f>
        <v/>
      </c>
      <c r="K28" s="55">
        <f t="shared" si="4"/>
        <v>113.0649976</v>
      </c>
      <c r="L28" s="55">
        <f t="shared" si="5"/>
        <v>-37143.22003</v>
      </c>
      <c r="M28" s="14">
        <f t="shared" si="6"/>
        <v>47472</v>
      </c>
    </row>
    <row r="29" ht="15.75" customHeight="1">
      <c r="A29" s="7">
        <v>24.0</v>
      </c>
      <c r="B29" s="75">
        <f t="shared" si="2"/>
        <v>92</v>
      </c>
      <c r="C29" s="75">
        <f>IFERROR(ROUND(Escenarios!$B$21*(1+Escenarios!$B$22)^23,1),0)</f>
        <v>4</v>
      </c>
      <c r="D29" s="75">
        <f>IFERROR(ROUND(B29*Escenarios!$B$23,1),0)</f>
        <v>0</v>
      </c>
      <c r="E29" s="75">
        <f t="shared" si="1"/>
        <v>96</v>
      </c>
      <c r="F29" s="14">
        <f>E29*(Supuestos!$B$7*Escenarios!$B$24+Supuestos!$C$7*Escenarios!$B$25+Supuestos!$D$7*Escenarios!$B$26)</f>
        <v>4128</v>
      </c>
      <c r="G29" s="14">
        <f>E29*(Unit_Economics!$E$13*Escenarios!$B$24+Unit_Economics!$F$13*Escenarios!$B$25+Unit_Economics!$G$13*Escenarios!$B$26)</f>
        <v>357.8452199</v>
      </c>
      <c r="H29" s="14">
        <f t="shared" si="3"/>
        <v>3770.15478</v>
      </c>
      <c r="I29" s="14">
        <f>Escenarios!$B$27</f>
        <v>3500</v>
      </c>
      <c r="J29" s="14" t="str">
        <f>IFERROR(Escenarios!$B$28,0)</f>
        <v/>
      </c>
      <c r="K29" s="55">
        <f t="shared" si="4"/>
        <v>270.1547801</v>
      </c>
      <c r="L29" s="55">
        <f t="shared" si="5"/>
        <v>-36873.06525</v>
      </c>
      <c r="M29" s="14">
        <f t="shared" si="6"/>
        <v>49536</v>
      </c>
    </row>
    <row r="30" ht="15.75" customHeight="1"/>
    <row r="31" ht="15.75" customHeight="1">
      <c r="A31" s="18" t="s">
        <v>559</v>
      </c>
    </row>
    <row r="32" ht="15.75" customHeight="1">
      <c r="A32" s="7" t="s">
        <v>560</v>
      </c>
      <c r="C32" s="19">
        <f t="array" ref="C32">IFERROR(INDEX($A$6:$A$29,MATCH(TRUE,INDEX($K$6:$K$29&gt;=0,0),0)),"No llega en 24 meses")</f>
        <v>23</v>
      </c>
    </row>
    <row r="33" ht="15.75" customHeight="1">
      <c r="A33" s="7" t="s">
        <v>561</v>
      </c>
      <c r="C33" s="20">
        <f>MIN(L6:L29)</f>
        <v>-37256.28503</v>
      </c>
    </row>
    <row r="34" ht="15.75" customHeight="1">
      <c r="A34" s="7" t="s">
        <v>562</v>
      </c>
      <c r="C34" s="19">
        <f t="array" ref="C34">IFERROR(INDEX($A$6:$A$29,MATCH(MIN($L$6:$L$29),$L$6:$L$29,0)),"")</f>
        <v>22</v>
      </c>
    </row>
    <row r="35" ht="15.75" customHeight="1">
      <c r="A35" s="7" t="s">
        <v>563</v>
      </c>
      <c r="C35" s="19">
        <f>E29</f>
        <v>96</v>
      </c>
    </row>
    <row r="36" ht="15.75" customHeight="1">
      <c r="A36" s="7" t="s">
        <v>564</v>
      </c>
      <c r="C36" s="20">
        <f>M29</f>
        <v>49536</v>
      </c>
    </row>
    <row r="37" ht="15.75" customHeight="1"/>
    <row r="38" ht="15.75" customHeight="1">
      <c r="A38" s="40" t="s">
        <v>565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M1"/>
    <mergeCell ref="A2:M2"/>
    <mergeCell ref="A31:B31"/>
    <mergeCell ref="A38:M40"/>
  </mergeCells>
  <conditionalFormatting sqref="K6:L29">
    <cfRule type="cellIs" dxfId="2" priority="1" operator="lessThan">
      <formula>0</formula>
    </cfRule>
  </conditionalFormatting>
  <conditionalFormatting sqref="K6:L29">
    <cfRule type="cellIs" dxfId="3" priority="2" operator="greaterThanOrEqual">
      <formula>0</formula>
    </cfRule>
  </conditionalFormatting>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26.0"/>
    <col customWidth="1" min="2" max="8" width="13.0"/>
    <col customWidth="1" min="9" max="26" width="8.71"/>
  </cols>
  <sheetData>
    <row r="1" ht="25.5" customHeight="1">
      <c r="A1" s="1" t="s">
        <v>388</v>
      </c>
    </row>
    <row r="2" ht="30.0" customHeight="1">
      <c r="A2" s="2" t="s">
        <v>389</v>
      </c>
    </row>
    <row r="4">
      <c r="A4" s="3" t="s">
        <v>390</v>
      </c>
      <c r="B4" s="4"/>
      <c r="C4" s="4"/>
      <c r="D4" s="4"/>
      <c r="E4" s="4"/>
      <c r="F4" s="4"/>
      <c r="G4" s="4"/>
      <c r="H4" s="5"/>
    </row>
    <row r="5">
      <c r="A5" s="76" t="s">
        <v>391</v>
      </c>
      <c r="B5" s="77">
        <v>20.0</v>
      </c>
      <c r="C5" s="77">
        <v>25.0</v>
      </c>
      <c r="D5" s="77">
        <v>29.36</v>
      </c>
      <c r="E5" s="77">
        <v>35.0</v>
      </c>
      <c r="F5" s="77">
        <v>40.0</v>
      </c>
      <c r="G5" s="77">
        <v>45.0</v>
      </c>
      <c r="H5" s="77">
        <v>50.0</v>
      </c>
    </row>
    <row r="6">
      <c r="A6" s="78">
        <v>1500.0</v>
      </c>
      <c r="B6" s="80">
        <f t="shared" ref="B6:H6" si="1">IFERROR(ROUNDUP($A6/B$5,0),"")</f>
        <v>75</v>
      </c>
      <c r="C6" s="80">
        <f t="shared" si="1"/>
        <v>60</v>
      </c>
      <c r="D6" s="80">
        <f t="shared" si="1"/>
        <v>52</v>
      </c>
      <c r="E6" s="80">
        <f t="shared" si="1"/>
        <v>43</v>
      </c>
      <c r="F6" s="80">
        <f t="shared" si="1"/>
        <v>38</v>
      </c>
      <c r="G6" s="80">
        <f t="shared" si="1"/>
        <v>34</v>
      </c>
      <c r="H6" s="80">
        <f t="shared" si="1"/>
        <v>30</v>
      </c>
    </row>
    <row r="7">
      <c r="A7" s="78">
        <v>2000.0</v>
      </c>
      <c r="B7" s="80">
        <f t="shared" ref="B7:H7" si="2">IFERROR(ROUNDUP($A7/B$5,0),"")</f>
        <v>100</v>
      </c>
      <c r="C7" s="80">
        <f t="shared" si="2"/>
        <v>80</v>
      </c>
      <c r="D7" s="80">
        <f t="shared" si="2"/>
        <v>69</v>
      </c>
      <c r="E7" s="80">
        <f t="shared" si="2"/>
        <v>58</v>
      </c>
      <c r="F7" s="80">
        <f t="shared" si="2"/>
        <v>50</v>
      </c>
      <c r="G7" s="80">
        <f t="shared" si="2"/>
        <v>45</v>
      </c>
      <c r="H7" s="80">
        <f t="shared" si="2"/>
        <v>40</v>
      </c>
    </row>
    <row r="8">
      <c r="A8" s="78">
        <v>2500.0</v>
      </c>
      <c r="B8" s="80">
        <f t="shared" ref="B8:H8" si="3">IFERROR(ROUNDUP($A8/B$5,0),"")</f>
        <v>125</v>
      </c>
      <c r="C8" s="80">
        <f t="shared" si="3"/>
        <v>100</v>
      </c>
      <c r="D8" s="80">
        <f t="shared" si="3"/>
        <v>86</v>
      </c>
      <c r="E8" s="80">
        <f t="shared" si="3"/>
        <v>72</v>
      </c>
      <c r="F8" s="80">
        <f t="shared" si="3"/>
        <v>63</v>
      </c>
      <c r="G8" s="80">
        <f t="shared" si="3"/>
        <v>56</v>
      </c>
      <c r="H8" s="80">
        <f t="shared" si="3"/>
        <v>50</v>
      </c>
    </row>
    <row r="9">
      <c r="A9" s="78">
        <v>3000.0</v>
      </c>
      <c r="B9" s="80">
        <f t="shared" ref="B9:H9" si="4">IFERROR(ROUNDUP($A9/B$5,0),"")</f>
        <v>150</v>
      </c>
      <c r="C9" s="80">
        <f t="shared" si="4"/>
        <v>120</v>
      </c>
      <c r="D9" s="80">
        <f t="shared" si="4"/>
        <v>103</v>
      </c>
      <c r="E9" s="80">
        <f t="shared" si="4"/>
        <v>86</v>
      </c>
      <c r="F9" s="80">
        <f t="shared" si="4"/>
        <v>75</v>
      </c>
      <c r="G9" s="80">
        <f t="shared" si="4"/>
        <v>67</v>
      </c>
      <c r="H9" s="80">
        <f t="shared" si="4"/>
        <v>60</v>
      </c>
    </row>
    <row r="10">
      <c r="A10" s="78">
        <v>3500.0</v>
      </c>
      <c r="B10" s="80">
        <f t="shared" ref="B10:H10" si="5">IFERROR(ROUNDUP($A10/B$5,0),"")</f>
        <v>175</v>
      </c>
      <c r="C10" s="80">
        <f t="shared" si="5"/>
        <v>140</v>
      </c>
      <c r="D10" s="80">
        <f t="shared" si="5"/>
        <v>120</v>
      </c>
      <c r="E10" s="80">
        <f t="shared" si="5"/>
        <v>100</v>
      </c>
      <c r="F10" s="80">
        <f t="shared" si="5"/>
        <v>88</v>
      </c>
      <c r="G10" s="80">
        <f t="shared" si="5"/>
        <v>78</v>
      </c>
      <c r="H10" s="80">
        <f t="shared" si="5"/>
        <v>70</v>
      </c>
    </row>
    <row r="11">
      <c r="A11" s="78">
        <v>4000.0</v>
      </c>
      <c r="B11" s="80">
        <f t="shared" ref="B11:H11" si="6">IFERROR(ROUNDUP($A11/B$5,0),"")</f>
        <v>200</v>
      </c>
      <c r="C11" s="80">
        <f t="shared" si="6"/>
        <v>160</v>
      </c>
      <c r="D11" s="80">
        <f t="shared" si="6"/>
        <v>137</v>
      </c>
      <c r="E11" s="80">
        <f t="shared" si="6"/>
        <v>115</v>
      </c>
      <c r="F11" s="80">
        <f t="shared" si="6"/>
        <v>100</v>
      </c>
      <c r="G11" s="80">
        <f t="shared" si="6"/>
        <v>89</v>
      </c>
      <c r="H11" s="80">
        <f t="shared" si="6"/>
        <v>80</v>
      </c>
    </row>
    <row r="12">
      <c r="A12" s="78">
        <v>5000.0</v>
      </c>
      <c r="B12" s="80">
        <f t="shared" ref="B12:H12" si="7">IFERROR(ROUNDUP($A12/B$5,0),"")</f>
        <v>250</v>
      </c>
      <c r="C12" s="80">
        <f t="shared" si="7"/>
        <v>200</v>
      </c>
      <c r="D12" s="80">
        <f t="shared" si="7"/>
        <v>171</v>
      </c>
      <c r="E12" s="80">
        <f t="shared" si="7"/>
        <v>143</v>
      </c>
      <c r="F12" s="80">
        <f t="shared" si="7"/>
        <v>125</v>
      </c>
      <c r="G12" s="80">
        <f t="shared" si="7"/>
        <v>112</v>
      </c>
      <c r="H12" s="80">
        <f t="shared" si="7"/>
        <v>100</v>
      </c>
    </row>
    <row r="13">
      <c r="A13" s="78">
        <v>6000.0</v>
      </c>
      <c r="B13" s="80">
        <f t="shared" ref="B13:H13" si="8">IFERROR(ROUNDUP($A13/B$5,0),"")</f>
        <v>300</v>
      </c>
      <c r="C13" s="80">
        <f t="shared" si="8"/>
        <v>240</v>
      </c>
      <c r="D13" s="80">
        <f t="shared" si="8"/>
        <v>205</v>
      </c>
      <c r="E13" s="80">
        <f t="shared" si="8"/>
        <v>172</v>
      </c>
      <c r="F13" s="80">
        <f t="shared" si="8"/>
        <v>150</v>
      </c>
      <c r="G13" s="80">
        <f t="shared" si="8"/>
        <v>134</v>
      </c>
      <c r="H13" s="80">
        <f t="shared" si="8"/>
        <v>120</v>
      </c>
    </row>
    <row r="14">
      <c r="A14" s="78">
        <v>8000.0</v>
      </c>
      <c r="B14" s="80">
        <f t="shared" ref="B14:H14" si="9">IFERROR(ROUNDUP($A14/B$5,0),"")</f>
        <v>400</v>
      </c>
      <c r="C14" s="80">
        <f t="shared" si="9"/>
        <v>320</v>
      </c>
      <c r="D14" s="80">
        <f t="shared" si="9"/>
        <v>273</v>
      </c>
      <c r="E14" s="80">
        <f t="shared" si="9"/>
        <v>229</v>
      </c>
      <c r="F14" s="80">
        <f t="shared" si="9"/>
        <v>200</v>
      </c>
      <c r="G14" s="80">
        <f t="shared" si="9"/>
        <v>178</v>
      </c>
      <c r="H14" s="80">
        <f t="shared" si="9"/>
        <v>160</v>
      </c>
    </row>
    <row r="16">
      <c r="A16" s="40" t="s">
        <v>412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A4:H4"/>
    <mergeCell ref="A16:H18"/>
  </mergeCells>
  <conditionalFormatting sqref="B6:H14">
    <cfRule type="colorScale" priority="1">
      <colorScale>
        <cfvo type="min"/>
        <cfvo type="max"/>
        <color rgb="FFDDEFE7"/>
        <color rgb="FFF7E8E3"/>
      </colorScale>
    </cfRule>
  </conditionalFormatting>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30.0"/>
    <col customWidth="1" min="2" max="4" width="14.0"/>
    <col customWidth="1" min="5" max="5" width="16.0"/>
    <col customWidth="1" min="6" max="6" width="18.0"/>
    <col customWidth="1" min="7" max="7" width="34.0"/>
    <col customWidth="1" min="8" max="26" width="8.71"/>
  </cols>
  <sheetData>
    <row r="1" ht="25.5" customHeight="1">
      <c r="A1" s="1" t="s">
        <v>392</v>
      </c>
    </row>
    <row r="2" ht="30.0" customHeight="1">
      <c r="A2" s="2" t="s">
        <v>393</v>
      </c>
    </row>
    <row r="4">
      <c r="A4" s="3" t="s">
        <v>394</v>
      </c>
      <c r="B4" s="4"/>
      <c r="C4" s="4"/>
      <c r="D4" s="4"/>
      <c r="E4" s="4"/>
      <c r="F4" s="4"/>
      <c r="G4" s="5"/>
    </row>
    <row r="5">
      <c r="A5" s="7" t="s">
        <v>396</v>
      </c>
      <c r="B5" s="17">
        <v>130.0</v>
      </c>
      <c r="G5" s="11" t="s">
        <v>397</v>
      </c>
    </row>
    <row r="6">
      <c r="A6" s="7" t="s">
        <v>398</v>
      </c>
      <c r="B6" s="47">
        <f>Supuestos!B19</f>
        <v>12</v>
      </c>
      <c r="G6" s="11" t="s">
        <v>401</v>
      </c>
    </row>
    <row r="7">
      <c r="A7" s="7" t="s">
        <v>402</v>
      </c>
      <c r="B7" s="47">
        <f>Supuestos!C19</f>
        <v>20</v>
      </c>
      <c r="G7" s="11" t="s">
        <v>401</v>
      </c>
    </row>
    <row r="8">
      <c r="A8" s="7" t="s">
        <v>403</v>
      </c>
      <c r="B8" s="47">
        <f>Supuestos!D19</f>
        <v>45</v>
      </c>
      <c r="G8" s="11" t="s">
        <v>401</v>
      </c>
    </row>
    <row r="10">
      <c r="A10" s="3" t="s">
        <v>404</v>
      </c>
      <c r="B10" s="4"/>
      <c r="C10" s="4"/>
      <c r="D10" s="4"/>
      <c r="E10" s="4"/>
      <c r="F10" s="4"/>
      <c r="G10" s="5"/>
    </row>
    <row r="11">
      <c r="A11" s="6" t="s">
        <v>277</v>
      </c>
      <c r="B11" s="6" t="s">
        <v>405</v>
      </c>
      <c r="C11" s="6" t="s">
        <v>406</v>
      </c>
      <c r="D11" s="6" t="s">
        <v>407</v>
      </c>
      <c r="E11" s="6" t="s">
        <v>408</v>
      </c>
      <c r="F11" s="6" t="s">
        <v>409</v>
      </c>
      <c r="G11" s="6" t="s">
        <v>410</v>
      </c>
    </row>
    <row r="12">
      <c r="A12" s="84">
        <v>25.0</v>
      </c>
      <c r="B12" s="80">
        <f>A12*($B$6*Supuestos!$B$8+$B$7*Supuestos!$C$8+$B$8*Supuestos!$D$8)</f>
        <v>452.5</v>
      </c>
      <c r="C12" s="80">
        <f t="shared" ref="C12:C20" si="1">B12/60</f>
        <v>7.541666667</v>
      </c>
      <c r="D12" s="85">
        <f t="shared" ref="D12:D20" si="2">C12/$B$5</f>
        <v>0.05801282051</v>
      </c>
      <c r="E12" s="14">
        <f>C12*Supuestos!$B$39</f>
        <v>188.5416667</v>
      </c>
      <c r="F12" s="52">
        <f>IFERROR(E12/(A12*(Supuestos!$B$7*Supuestos!$B$8+Supuestos!$C$7*Supuestos!$C$8+Supuestos!$D$7*Supuestos!$D$8)),"")</f>
        <v>0.1753875969</v>
      </c>
      <c r="G12" s="86" t="str">
        <f t="shared" ref="G12:G20" si="3">IF(D12&lt;=0.5,"Lo lleva el founder",IF(D12&lt;=1,"Ocupa a una persona entera",IF(D12&lt;=2,"Hace falta una segunda persona","Equipo de soporte formal")))</f>
        <v>Lo lleva el founder</v>
      </c>
    </row>
    <row r="13">
      <c r="A13" s="84">
        <v>50.0</v>
      </c>
      <c r="B13" s="80">
        <f>A13*($B$6*Supuestos!$B$8+$B$7*Supuestos!$C$8+$B$8*Supuestos!$D$8)</f>
        <v>905</v>
      </c>
      <c r="C13" s="80">
        <f t="shared" si="1"/>
        <v>15.08333333</v>
      </c>
      <c r="D13" s="85">
        <f t="shared" si="2"/>
        <v>0.116025641</v>
      </c>
      <c r="E13" s="14">
        <f>C13*Supuestos!$B$39</f>
        <v>377.0833333</v>
      </c>
      <c r="F13" s="52">
        <f>IFERROR(E13/(A13*(Supuestos!$B$7*Supuestos!$B$8+Supuestos!$C$7*Supuestos!$C$8+Supuestos!$D$7*Supuestos!$D$8)),"")</f>
        <v>0.1753875969</v>
      </c>
      <c r="G13" s="86" t="str">
        <f t="shared" si="3"/>
        <v>Lo lleva el founder</v>
      </c>
    </row>
    <row r="14">
      <c r="A14" s="84">
        <v>100.0</v>
      </c>
      <c r="B14" s="80">
        <f>A14*($B$6*Supuestos!$B$8+$B$7*Supuestos!$C$8+$B$8*Supuestos!$D$8)</f>
        <v>1810</v>
      </c>
      <c r="C14" s="80">
        <f t="shared" si="1"/>
        <v>30.16666667</v>
      </c>
      <c r="D14" s="85">
        <f t="shared" si="2"/>
        <v>0.2320512821</v>
      </c>
      <c r="E14" s="14">
        <f>C14*Supuestos!$B$39</f>
        <v>754.1666667</v>
      </c>
      <c r="F14" s="52">
        <f>IFERROR(E14/(A14*(Supuestos!$B$7*Supuestos!$B$8+Supuestos!$C$7*Supuestos!$C$8+Supuestos!$D$7*Supuestos!$D$8)),"")</f>
        <v>0.1753875969</v>
      </c>
      <c r="G14" s="86" t="str">
        <f t="shared" si="3"/>
        <v>Lo lleva el founder</v>
      </c>
    </row>
    <row r="15">
      <c r="A15" s="84">
        <v>120.0</v>
      </c>
      <c r="B15" s="80">
        <f>A15*($B$6*Supuestos!$B$8+$B$7*Supuestos!$C$8+$B$8*Supuestos!$D$8)</f>
        <v>2172</v>
      </c>
      <c r="C15" s="80">
        <f t="shared" si="1"/>
        <v>36.2</v>
      </c>
      <c r="D15" s="85">
        <f t="shared" si="2"/>
        <v>0.2784615385</v>
      </c>
      <c r="E15" s="14">
        <f>C15*Supuestos!$B$39</f>
        <v>905</v>
      </c>
      <c r="F15" s="52">
        <f>IFERROR(E15/(A15*(Supuestos!$B$7*Supuestos!$B$8+Supuestos!$C$7*Supuestos!$C$8+Supuestos!$D$7*Supuestos!$D$8)),"")</f>
        <v>0.1753875969</v>
      </c>
      <c r="G15" s="86" t="str">
        <f t="shared" si="3"/>
        <v>Lo lleva el founder</v>
      </c>
    </row>
    <row r="16">
      <c r="A16" s="84">
        <v>200.0</v>
      </c>
      <c r="B16" s="80">
        <f>A16*($B$6*Supuestos!$B$8+$B$7*Supuestos!$C$8+$B$8*Supuestos!$D$8)</f>
        <v>3620</v>
      </c>
      <c r="C16" s="80">
        <f t="shared" si="1"/>
        <v>60.33333333</v>
      </c>
      <c r="D16" s="85">
        <f t="shared" si="2"/>
        <v>0.4641025641</v>
      </c>
      <c r="E16" s="14">
        <f>C16*Supuestos!$B$39</f>
        <v>1508.333333</v>
      </c>
      <c r="F16" s="52">
        <f>IFERROR(E16/(A16*(Supuestos!$B$7*Supuestos!$B$8+Supuestos!$C$7*Supuestos!$C$8+Supuestos!$D$7*Supuestos!$D$8)),"")</f>
        <v>0.1753875969</v>
      </c>
      <c r="G16" s="86" t="str">
        <f t="shared" si="3"/>
        <v>Lo lleva el founder</v>
      </c>
    </row>
    <row r="17">
      <c r="A17" s="84">
        <v>300.0</v>
      </c>
      <c r="B17" s="80">
        <f>A17*($B$6*Supuestos!$B$8+$B$7*Supuestos!$C$8+$B$8*Supuestos!$D$8)</f>
        <v>5430</v>
      </c>
      <c r="C17" s="80">
        <f t="shared" si="1"/>
        <v>90.5</v>
      </c>
      <c r="D17" s="85">
        <f t="shared" si="2"/>
        <v>0.6961538462</v>
      </c>
      <c r="E17" s="14">
        <f>C17*Supuestos!$B$39</f>
        <v>2262.5</v>
      </c>
      <c r="F17" s="52">
        <f>IFERROR(E17/(A17*(Supuestos!$B$7*Supuestos!$B$8+Supuestos!$C$7*Supuestos!$C$8+Supuestos!$D$7*Supuestos!$D$8)),"")</f>
        <v>0.1753875969</v>
      </c>
      <c r="G17" s="86" t="str">
        <f t="shared" si="3"/>
        <v>Ocupa a una persona entera</v>
      </c>
    </row>
    <row r="18">
      <c r="A18" s="84">
        <v>500.0</v>
      </c>
      <c r="B18" s="80">
        <f>A18*($B$6*Supuestos!$B$8+$B$7*Supuestos!$C$8+$B$8*Supuestos!$D$8)</f>
        <v>9050</v>
      </c>
      <c r="C18" s="80">
        <f t="shared" si="1"/>
        <v>150.8333333</v>
      </c>
      <c r="D18" s="85">
        <f t="shared" si="2"/>
        <v>1.16025641</v>
      </c>
      <c r="E18" s="14">
        <f>C18*Supuestos!$B$39</f>
        <v>3770.833333</v>
      </c>
      <c r="F18" s="52">
        <f>IFERROR(E18/(A18*(Supuestos!$B$7*Supuestos!$B$8+Supuestos!$C$7*Supuestos!$C$8+Supuestos!$D$7*Supuestos!$D$8)),"")</f>
        <v>0.1753875969</v>
      </c>
      <c r="G18" s="86" t="str">
        <f t="shared" si="3"/>
        <v>Hace falta una segunda persona</v>
      </c>
    </row>
    <row r="19">
      <c r="A19" s="84">
        <v>750.0</v>
      </c>
      <c r="B19" s="80">
        <f>A19*($B$6*Supuestos!$B$8+$B$7*Supuestos!$C$8+$B$8*Supuestos!$D$8)</f>
        <v>13575</v>
      </c>
      <c r="C19" s="80">
        <f t="shared" si="1"/>
        <v>226.25</v>
      </c>
      <c r="D19" s="85">
        <f t="shared" si="2"/>
        <v>1.740384615</v>
      </c>
      <c r="E19" s="14">
        <f>C19*Supuestos!$B$39</f>
        <v>5656.25</v>
      </c>
      <c r="F19" s="52">
        <f>IFERROR(E19/(A19*(Supuestos!$B$7*Supuestos!$B$8+Supuestos!$C$7*Supuestos!$C$8+Supuestos!$D$7*Supuestos!$D$8)),"")</f>
        <v>0.1753875969</v>
      </c>
      <c r="G19" s="86" t="str">
        <f t="shared" si="3"/>
        <v>Hace falta una segunda persona</v>
      </c>
    </row>
    <row r="20">
      <c r="A20" s="84">
        <v>1000.0</v>
      </c>
      <c r="B20" s="80">
        <f>A20*($B$6*Supuestos!$B$8+$B$7*Supuestos!$C$8+$B$8*Supuestos!$D$8)</f>
        <v>18100</v>
      </c>
      <c r="C20" s="80">
        <f t="shared" si="1"/>
        <v>301.6666667</v>
      </c>
      <c r="D20" s="85">
        <f t="shared" si="2"/>
        <v>2.320512821</v>
      </c>
      <c r="E20" s="14">
        <f>C20*Supuestos!$B$39</f>
        <v>7541.666667</v>
      </c>
      <c r="F20" s="52">
        <f>IFERROR(E20/(A20*(Supuestos!$B$7*Supuestos!$B$8+Supuestos!$C$7*Supuestos!$C$8+Supuestos!$D$7*Supuestos!$D$8)),"")</f>
        <v>0.1753875969</v>
      </c>
      <c r="G20" s="86" t="str">
        <f t="shared" si="3"/>
        <v>Equipo de soporte formal</v>
      </c>
    </row>
    <row r="21" ht="15.75" customHeight="1"/>
    <row r="22" ht="15.75" customHeight="1">
      <c r="A22" s="40" t="s">
        <v>419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A4:G4"/>
    <mergeCell ref="A10:G10"/>
    <mergeCell ref="A22:G2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B74"/>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0"/>
    <col customWidth="1" min="2" max="3" width="16.0"/>
    <col customWidth="1" min="4" max="4" width="14.0"/>
    <col customWidth="1" min="5" max="5" width="20.0"/>
    <col customWidth="1" min="6" max="6" width="40.0"/>
    <col customWidth="1" min="7" max="26" width="8.71"/>
  </cols>
  <sheetData>
    <row r="1" ht="25.5" customHeight="1">
      <c r="A1" s="1" t="s">
        <v>413</v>
      </c>
    </row>
    <row r="2" ht="30.0" customHeight="1">
      <c r="A2" s="2" t="s">
        <v>414</v>
      </c>
    </row>
    <row r="4">
      <c r="A4" s="6" t="s">
        <v>415</v>
      </c>
      <c r="B4" s="6" t="s">
        <v>416</v>
      </c>
      <c r="C4" s="6" t="s">
        <v>417</v>
      </c>
      <c r="D4" s="6" t="s">
        <v>23</v>
      </c>
      <c r="E4" s="6" t="s">
        <v>418</v>
      </c>
      <c r="F4" s="6" t="s">
        <v>420</v>
      </c>
    </row>
    <row r="5">
      <c r="A5" s="7" t="s">
        <v>53</v>
      </c>
      <c r="B5" s="50">
        <v>0.6</v>
      </c>
      <c r="C5" s="87"/>
      <c r="D5" s="11" t="s">
        <v>44</v>
      </c>
      <c r="E5" s="11" t="s">
        <v>421</v>
      </c>
      <c r="F5" s="40" t="s">
        <v>422</v>
      </c>
    </row>
    <row r="6">
      <c r="A6" s="7" t="s">
        <v>423</v>
      </c>
      <c r="B6" s="88"/>
      <c r="C6" s="87"/>
      <c r="D6" s="11" t="s">
        <v>424</v>
      </c>
      <c r="E6" s="11" t="s">
        <v>425</v>
      </c>
      <c r="F6" s="40" t="s">
        <v>426</v>
      </c>
    </row>
    <row r="7">
      <c r="A7" s="7" t="s">
        <v>427</v>
      </c>
      <c r="B7" s="88"/>
      <c r="C7" s="87"/>
      <c r="D7" s="11" t="s">
        <v>428</v>
      </c>
      <c r="E7" s="11" t="s">
        <v>429</v>
      </c>
      <c r="F7" s="40" t="s">
        <v>430</v>
      </c>
    </row>
    <row r="8">
      <c r="A8" s="7" t="s">
        <v>431</v>
      </c>
      <c r="B8" s="88"/>
      <c r="C8" s="87"/>
      <c r="D8" s="11" t="s">
        <v>54</v>
      </c>
      <c r="E8" s="11" t="s">
        <v>432</v>
      </c>
      <c r="F8" s="40" t="s">
        <v>433</v>
      </c>
    </row>
    <row r="9">
      <c r="A9" s="7" t="s">
        <v>434</v>
      </c>
      <c r="B9" s="88"/>
      <c r="C9" s="87"/>
      <c r="D9" s="11" t="s">
        <v>436</v>
      </c>
      <c r="E9" s="11" t="s">
        <v>437</v>
      </c>
      <c r="F9" s="40" t="s">
        <v>438</v>
      </c>
    </row>
    <row r="10">
      <c r="A10" s="7" t="s">
        <v>440</v>
      </c>
      <c r="B10" s="88">
        <v>12.0</v>
      </c>
      <c r="C10" s="87"/>
      <c r="D10" s="11" t="s">
        <v>67</v>
      </c>
      <c r="E10" s="11" t="s">
        <v>444</v>
      </c>
      <c r="F10" s="40" t="s">
        <v>446</v>
      </c>
    </row>
    <row r="11">
      <c r="A11" s="7" t="s">
        <v>448</v>
      </c>
      <c r="B11" s="88">
        <v>100.0</v>
      </c>
      <c r="C11" s="87"/>
      <c r="D11" s="11" t="s">
        <v>67</v>
      </c>
      <c r="E11" s="11" t="s">
        <v>450</v>
      </c>
      <c r="F11" s="40" t="s">
        <v>451</v>
      </c>
    </row>
    <row r="12">
      <c r="A12" s="7" t="s">
        <v>452</v>
      </c>
      <c r="B12" s="88"/>
      <c r="C12" s="87"/>
      <c r="D12" s="11" t="s">
        <v>44</v>
      </c>
      <c r="E12" s="11" t="s">
        <v>455</v>
      </c>
      <c r="F12" s="40" t="s">
        <v>456</v>
      </c>
    </row>
    <row r="13">
      <c r="A13" s="7" t="s">
        <v>457</v>
      </c>
      <c r="B13" s="88">
        <v>1.48</v>
      </c>
      <c r="C13" s="87"/>
      <c r="D13" s="11" t="s">
        <v>54</v>
      </c>
      <c r="E13" s="11" t="s">
        <v>458</v>
      </c>
      <c r="F13" s="40" t="s">
        <v>459</v>
      </c>
    </row>
    <row r="14">
      <c r="A14" s="7" t="s">
        <v>461</v>
      </c>
      <c r="B14" s="88"/>
      <c r="C14" s="87"/>
      <c r="D14" s="11" t="s">
        <v>44</v>
      </c>
      <c r="E14" s="11" t="s">
        <v>463</v>
      </c>
      <c r="F14" s="40" t="s">
        <v>464</v>
      </c>
    </row>
    <row r="15">
      <c r="A15" s="7" t="s">
        <v>465</v>
      </c>
      <c r="B15" s="88"/>
      <c r="C15" s="87"/>
      <c r="D15" s="11" t="s">
        <v>353</v>
      </c>
      <c r="E15" s="11" t="s">
        <v>468</v>
      </c>
      <c r="F15" s="40" t="s">
        <v>469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1" width="34.0"/>
    <col customWidth="1" min="2" max="2" width="22.0"/>
    <col customWidth="1" min="3" max="5" width="16.0"/>
    <col customWidth="1" min="6" max="6" width="34.0"/>
    <col customWidth="1" min="7" max="26" width="8.71"/>
  </cols>
  <sheetData>
    <row r="1" ht="25.5" customHeight="1">
      <c r="A1" s="1" t="s">
        <v>435</v>
      </c>
    </row>
    <row r="2" ht="30.0" customHeight="1">
      <c r="A2" s="2" t="s">
        <v>439</v>
      </c>
    </row>
    <row r="4">
      <c r="A4" s="6" t="s">
        <v>441</v>
      </c>
      <c r="B4" s="6" t="s">
        <v>442</v>
      </c>
      <c r="C4" s="6" t="s">
        <v>443</v>
      </c>
      <c r="D4" s="6" t="s">
        <v>445</v>
      </c>
      <c r="E4" s="6" t="s">
        <v>447</v>
      </c>
      <c r="F4" s="6" t="s">
        <v>26</v>
      </c>
    </row>
    <row r="5">
      <c r="A5" s="7" t="s">
        <v>449</v>
      </c>
      <c r="B5" s="24">
        <v>0.0</v>
      </c>
      <c r="C5" s="9">
        <v>0.0</v>
      </c>
      <c r="D5" s="9">
        <v>0.0</v>
      </c>
      <c r="E5" s="9">
        <v>0.0</v>
      </c>
      <c r="F5" s="11" t="s">
        <v>453</v>
      </c>
    </row>
    <row r="6">
      <c r="A6" s="7" t="s">
        <v>454</v>
      </c>
      <c r="B6" s="24">
        <v>7.0E-4</v>
      </c>
      <c r="C6" s="9">
        <v>0.05</v>
      </c>
      <c r="D6" s="9">
        <v>0.21</v>
      </c>
      <c r="E6" s="9">
        <v>1.07</v>
      </c>
      <c r="F6" s="11" t="s">
        <v>460</v>
      </c>
    </row>
    <row r="7">
      <c r="A7" s="7" t="s">
        <v>462</v>
      </c>
      <c r="B7" s="24">
        <v>0.0027</v>
      </c>
      <c r="C7" s="9">
        <v>0.2</v>
      </c>
      <c r="D7" s="9">
        <v>0.8</v>
      </c>
      <c r="E7" s="9">
        <v>3.98</v>
      </c>
      <c r="F7" s="11" t="s">
        <v>466</v>
      </c>
    </row>
    <row r="8">
      <c r="A8" s="7" t="s">
        <v>467</v>
      </c>
      <c r="B8" s="24">
        <v>0.0123</v>
      </c>
      <c r="C8" s="9">
        <v>0.92</v>
      </c>
      <c r="D8" s="9">
        <v>3.68</v>
      </c>
      <c r="E8" s="9">
        <v>18.41</v>
      </c>
      <c r="F8" s="11" t="s">
        <v>470</v>
      </c>
    </row>
    <row r="10">
      <c r="A10" s="3" t="s">
        <v>471</v>
      </c>
      <c r="B10" s="4"/>
      <c r="C10" s="4"/>
      <c r="D10" s="4"/>
      <c r="E10" s="4"/>
      <c r="F10" s="5"/>
    </row>
    <row r="11">
      <c r="A11" s="7" t="s">
        <v>472</v>
      </c>
      <c r="B11" s="7" t="s">
        <v>473</v>
      </c>
    </row>
    <row r="12">
      <c r="A12" s="7" t="s">
        <v>474</v>
      </c>
      <c r="B12" s="7" t="s">
        <v>475</v>
      </c>
    </row>
    <row r="13">
      <c r="A13" s="7" t="s">
        <v>476</v>
      </c>
      <c r="B13" s="7" t="s">
        <v>477</v>
      </c>
    </row>
    <row r="14">
      <c r="A14" s="7" t="s">
        <v>478</v>
      </c>
      <c r="B14" s="18" t="s">
        <v>479</v>
      </c>
    </row>
    <row r="16">
      <c r="A16" s="40" t="s">
        <v>480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1"/>
    <mergeCell ref="A2:F2"/>
    <mergeCell ref="A10:F10"/>
    <mergeCell ref="B11:F11"/>
    <mergeCell ref="B12:F12"/>
    <mergeCell ref="B13:F13"/>
    <mergeCell ref="B14:F14"/>
    <mergeCell ref="A16:F18"/>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33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8.0"/>
    <col customWidth="1" min="2" max="3" width="18.0"/>
    <col customWidth="1" min="4" max="4" width="20.0"/>
    <col customWidth="1" min="5" max="5" width="46.0"/>
    <col customWidth="1" min="6" max="26" width="8.71"/>
  </cols>
  <sheetData>
    <row r="1" ht="25.5" customHeight="1">
      <c r="A1" s="1" t="s">
        <v>481</v>
      </c>
    </row>
    <row r="2" ht="30.0" customHeight="1">
      <c r="A2" s="2" t="s">
        <v>482</v>
      </c>
    </row>
    <row r="4">
      <c r="A4" s="6" t="s">
        <v>14</v>
      </c>
      <c r="B4" s="6" t="s">
        <v>483</v>
      </c>
      <c r="C4" s="6" t="s">
        <v>23</v>
      </c>
      <c r="D4" s="6" t="s">
        <v>484</v>
      </c>
      <c r="E4" s="6" t="s">
        <v>485</v>
      </c>
    </row>
    <row r="5">
      <c r="A5" s="7" t="s">
        <v>486</v>
      </c>
      <c r="B5" s="87"/>
      <c r="C5" s="11" t="s">
        <v>487</v>
      </c>
      <c r="D5" s="11" t="s">
        <v>488</v>
      </c>
      <c r="E5" s="40" t="s">
        <v>489</v>
      </c>
    </row>
    <row r="6">
      <c r="A6" s="7" t="s">
        <v>490</v>
      </c>
      <c r="B6" s="87"/>
      <c r="C6" s="11" t="s">
        <v>44</v>
      </c>
      <c r="D6" s="11" t="s">
        <v>491</v>
      </c>
      <c r="E6" s="40" t="s">
        <v>492</v>
      </c>
    </row>
    <row r="7">
      <c r="A7" s="7" t="s">
        <v>493</v>
      </c>
      <c r="B7" s="87"/>
      <c r="C7" s="11" t="s">
        <v>54</v>
      </c>
      <c r="D7" s="11" t="s">
        <v>488</v>
      </c>
      <c r="E7" s="40" t="s">
        <v>494</v>
      </c>
    </row>
    <row r="8">
      <c r="A8" s="7" t="s">
        <v>495</v>
      </c>
      <c r="B8" s="87"/>
      <c r="C8" s="11" t="s">
        <v>54</v>
      </c>
      <c r="D8" s="11" t="s">
        <v>496</v>
      </c>
      <c r="E8" s="40" t="s">
        <v>497</v>
      </c>
    </row>
    <row r="9">
      <c r="A9" s="7" t="s">
        <v>498</v>
      </c>
      <c r="B9" s="87"/>
      <c r="C9" s="11" t="s">
        <v>54</v>
      </c>
      <c r="D9" s="11" t="s">
        <v>499</v>
      </c>
      <c r="E9" s="40" t="s">
        <v>500</v>
      </c>
    </row>
    <row r="10">
      <c r="A10" s="7" t="s">
        <v>501</v>
      </c>
      <c r="B10" s="87"/>
      <c r="C10" s="11" t="s">
        <v>54</v>
      </c>
      <c r="D10" s="11" t="s">
        <v>499</v>
      </c>
      <c r="E10" s="40" t="s">
        <v>502</v>
      </c>
    </row>
    <row r="11">
      <c r="A11" s="7" t="s">
        <v>503</v>
      </c>
      <c r="B11" s="87"/>
      <c r="C11" s="11" t="s">
        <v>54</v>
      </c>
      <c r="D11" s="11" t="s">
        <v>488</v>
      </c>
      <c r="E11" s="40" t="s">
        <v>504</v>
      </c>
    </row>
    <row r="12">
      <c r="A12" s="7" t="s">
        <v>505</v>
      </c>
      <c r="B12" s="87"/>
      <c r="C12" s="11" t="s">
        <v>506</v>
      </c>
      <c r="D12" s="11" t="s">
        <v>488</v>
      </c>
      <c r="E12" s="40" t="s">
        <v>507</v>
      </c>
    </row>
    <row r="13">
      <c r="A13" s="7" t="s">
        <v>508</v>
      </c>
      <c r="B13" s="87"/>
      <c r="C13" s="11" t="s">
        <v>54</v>
      </c>
      <c r="D13" s="11" t="s">
        <v>488</v>
      </c>
      <c r="E13" s="40" t="s">
        <v>509</v>
      </c>
    </row>
    <row r="14">
      <c r="A14" s="7" t="s">
        <v>510</v>
      </c>
      <c r="B14" s="87"/>
      <c r="C14" s="11" t="s">
        <v>506</v>
      </c>
      <c r="D14" s="11" t="s">
        <v>488</v>
      </c>
      <c r="E14" s="40" t="s">
        <v>511</v>
      </c>
    </row>
    <row r="15">
      <c r="A15" s="7" t="s">
        <v>512</v>
      </c>
      <c r="B15" s="87"/>
      <c r="C15" s="11" t="s">
        <v>353</v>
      </c>
      <c r="D15" s="11" t="s">
        <v>491</v>
      </c>
      <c r="E15" s="40" t="s">
        <v>513</v>
      </c>
    </row>
    <row r="16">
      <c r="A16" s="7" t="s">
        <v>514</v>
      </c>
      <c r="B16" s="87"/>
      <c r="C16" s="11" t="s">
        <v>353</v>
      </c>
      <c r="D16" s="11" t="s">
        <v>488</v>
      </c>
      <c r="E16" s="40" t="s">
        <v>515</v>
      </c>
    </row>
    <row r="17">
      <c r="A17" s="7" t="s">
        <v>516</v>
      </c>
      <c r="B17" s="87"/>
      <c r="C17" s="11" t="s">
        <v>517</v>
      </c>
      <c r="D17" s="11" t="s">
        <v>488</v>
      </c>
      <c r="E17" s="40" t="s">
        <v>518</v>
      </c>
    </row>
    <row r="18">
      <c r="A18" s="7" t="s">
        <v>519</v>
      </c>
      <c r="B18" s="87"/>
      <c r="C18" s="11" t="s">
        <v>177</v>
      </c>
      <c r="D18" s="11" t="s">
        <v>521</v>
      </c>
      <c r="E18" s="40" t="s">
        <v>523</v>
      </c>
    </row>
    <row r="19">
      <c r="A19" s="7" t="s">
        <v>524</v>
      </c>
      <c r="B19" s="87"/>
      <c r="C19" s="11" t="s">
        <v>44</v>
      </c>
      <c r="D19" s="11" t="s">
        <v>521</v>
      </c>
      <c r="E19" s="40" t="s">
        <v>526</v>
      </c>
    </row>
    <row r="20">
      <c r="A20" s="7" t="s">
        <v>528</v>
      </c>
      <c r="B20" s="87"/>
      <c r="C20" s="11" t="s">
        <v>54</v>
      </c>
      <c r="D20" s="11" t="s">
        <v>488</v>
      </c>
      <c r="E20" s="40" t="s">
        <v>531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463B"/>
    <pageSetUpPr/>
  </sheetPr>
  <sheetViews>
    <sheetView showGridLines="0" workbookViewId="0"/>
  </sheetViews>
  <sheetFormatPr customHeight="1" defaultColWidth="14.43" defaultRowHeight="15.0"/>
  <cols>
    <col customWidth="1" min="1" max="2" width="30.0"/>
    <col customWidth="1" min="3" max="3" width="58.0"/>
    <col customWidth="1" min="4" max="4" width="16.0"/>
    <col customWidth="1" min="5" max="26" width="8.71"/>
  </cols>
  <sheetData>
    <row r="1" ht="25.5" customHeight="1">
      <c r="A1" s="1" t="s">
        <v>520</v>
      </c>
    </row>
    <row r="2" ht="30.0" customHeight="1">
      <c r="A2" s="2" t="s">
        <v>522</v>
      </c>
    </row>
    <row r="4">
      <c r="A4" s="6" t="s">
        <v>13</v>
      </c>
      <c r="B4" s="6" t="s">
        <v>525</v>
      </c>
      <c r="C4" s="6" t="s">
        <v>527</v>
      </c>
      <c r="D4" s="6" t="s">
        <v>529</v>
      </c>
    </row>
    <row r="5">
      <c r="A5" s="7" t="s">
        <v>530</v>
      </c>
      <c r="B5" s="7" t="s">
        <v>532</v>
      </c>
      <c r="C5" s="89" t="s">
        <v>533</v>
      </c>
      <c r="D5" s="11" t="s">
        <v>115</v>
      </c>
    </row>
    <row r="6">
      <c r="A6" s="7" t="s">
        <v>534</v>
      </c>
      <c r="B6" s="7" t="s">
        <v>535</v>
      </c>
      <c r="C6" s="89" t="s">
        <v>536</v>
      </c>
      <c r="D6" s="11" t="s">
        <v>115</v>
      </c>
    </row>
    <row r="7">
      <c r="A7" s="7" t="s">
        <v>537</v>
      </c>
      <c r="B7" s="7" t="s">
        <v>156</v>
      </c>
      <c r="C7" s="89" t="s">
        <v>538</v>
      </c>
      <c r="D7" s="11" t="s">
        <v>115</v>
      </c>
    </row>
    <row r="8">
      <c r="A8" s="7" t="s">
        <v>539</v>
      </c>
      <c r="B8" s="7" t="s">
        <v>540</v>
      </c>
      <c r="C8" s="89" t="s">
        <v>541</v>
      </c>
      <c r="D8" s="11" t="s">
        <v>115</v>
      </c>
    </row>
    <row r="9">
      <c r="A9" s="7" t="s">
        <v>542</v>
      </c>
      <c r="B9" s="7" t="s">
        <v>543</v>
      </c>
      <c r="C9" s="89" t="s">
        <v>544</v>
      </c>
      <c r="D9" s="11" t="s">
        <v>115</v>
      </c>
    </row>
    <row r="10">
      <c r="A10" s="7" t="s">
        <v>545</v>
      </c>
      <c r="B10" s="7" t="s">
        <v>109</v>
      </c>
      <c r="C10" s="89" t="s">
        <v>546</v>
      </c>
      <c r="D10" s="11" t="s">
        <v>108</v>
      </c>
    </row>
    <row r="11">
      <c r="A11" s="7" t="s">
        <v>547</v>
      </c>
      <c r="B11" s="7" t="s">
        <v>161</v>
      </c>
      <c r="C11" s="89" t="s">
        <v>548</v>
      </c>
      <c r="D11" s="11" t="s">
        <v>115</v>
      </c>
    </row>
    <row r="12">
      <c r="A12" s="7" t="s">
        <v>139</v>
      </c>
      <c r="B12" s="7" t="s">
        <v>549</v>
      </c>
      <c r="C12" s="89" t="s">
        <v>550</v>
      </c>
      <c r="D12" s="11" t="s">
        <v>115</v>
      </c>
    </row>
    <row r="13">
      <c r="A13" s="7" t="s">
        <v>551</v>
      </c>
      <c r="B13" s="7" t="s">
        <v>552</v>
      </c>
      <c r="C13" s="89" t="s">
        <v>553</v>
      </c>
      <c r="D13" s="11" t="s">
        <v>115</v>
      </c>
    </row>
    <row r="14">
      <c r="A14" s="7" t="s">
        <v>554</v>
      </c>
      <c r="B14" s="7" t="s">
        <v>555</v>
      </c>
      <c r="C14" s="89" t="s">
        <v>556</v>
      </c>
      <c r="D14" s="11" t="s">
        <v>115</v>
      </c>
    </row>
    <row r="17">
      <c r="A17" s="28" t="s">
        <v>557</v>
      </c>
    </row>
    <row r="18">
      <c r="A18" s="40" t="s">
        <v>558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8:D21"/>
  </mergeCells>
  <hyperlinks>
    <hyperlink r:id="rId1" ref="C5"/>
    <hyperlink r:id="rId2" ref="C6"/>
    <hyperlink r:id="rId3" ref="C7"/>
    <hyperlink r:id="rId4" ref="C8"/>
    <hyperlink r:id="rId5" ref="C9"/>
    <hyperlink r:id="rId6" ref="C10"/>
    <hyperlink r:id="rId7" ref="C11"/>
    <hyperlink r:id="rId8" ref="C12"/>
    <hyperlink r:id="rId9" ref="C13"/>
    <hyperlink r:id="rId10" ref="C14"/>
  </hyperlinks>
  <printOptions/>
  <pageMargins bottom="1.0" footer="0.0" header="0.0" left="0.75" right="0.75" top="1.0"/>
  <pageSetup orientation="landscape"/>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2026-08-11T20:28:10Z</dcterms:created>
  <dc:creator>openpyxl</dc:creator>
</cp:coreProperties>
</file>